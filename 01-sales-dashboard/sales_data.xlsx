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dy\Documents\dip-level-pro\Sales-Dashboard-Project\"/>
    </mc:Choice>
  </mc:AlternateContent>
  <xr:revisionPtr revIDLastSave="0" documentId="13_ncr:1_{4D3DF8B4-2E53-45BF-8D4F-FE02252C5864}" xr6:coauthVersionLast="47" xr6:coauthVersionMax="47" xr10:uidLastSave="{00000000-0000-0000-0000-000000000000}"/>
  <bookViews>
    <workbookView xWindow="4572" yWindow="2376" windowWidth="17280" windowHeight="8880" firstSheet="1" activeTab="2" xr2:uid="{00000000-000D-0000-FFFF-FFFF00000000}"/>
  </bookViews>
  <sheets>
    <sheet name="Raw_Data" sheetId="1" r:id="rId1"/>
    <sheet name="PT_Monthly" sheetId="2" r:id="rId2"/>
    <sheet name="Dashboard" sheetId="3" r:id="rId3"/>
    <sheet name="PT_Region" sheetId="4" r:id="rId4"/>
    <sheet name="PT_Category" sheetId="5" r:id="rId5"/>
    <sheet name="PT_Product" sheetId="6" r:id="rId6"/>
    <sheet name="Clean_Data" sheetId="7" r:id="rId7"/>
  </sheets>
  <calcPr calcId="181029"/>
  <pivotCaches>
    <pivotCache cacheId="7" r:id="rId8"/>
  </pivotCaches>
</workbook>
</file>

<file path=xl/calcChain.xml><?xml version="1.0" encoding="utf-8"?>
<calcChain xmlns="http://schemas.openxmlformats.org/spreadsheetml/2006/main">
  <c r="I101" i="7" l="1"/>
  <c r="G101" i="7"/>
  <c r="I100" i="7"/>
  <c r="G100" i="7"/>
  <c r="I99" i="7"/>
  <c r="G99" i="7"/>
  <c r="I98" i="7"/>
  <c r="G98" i="7"/>
  <c r="I97" i="7"/>
  <c r="G97" i="7"/>
  <c r="I96" i="7"/>
  <c r="G96" i="7"/>
  <c r="I95" i="7"/>
  <c r="G95" i="7"/>
  <c r="I94" i="7"/>
  <c r="G94" i="7"/>
  <c r="I93" i="7"/>
  <c r="G93" i="7"/>
  <c r="I92" i="7"/>
  <c r="G92" i="7"/>
  <c r="I91" i="7"/>
  <c r="G91" i="7"/>
  <c r="I90" i="7"/>
  <c r="G90" i="7"/>
  <c r="I89" i="7"/>
  <c r="G89" i="7"/>
  <c r="I88" i="7"/>
  <c r="G88" i="7"/>
  <c r="I87" i="7"/>
  <c r="G87" i="7"/>
  <c r="I86" i="7"/>
  <c r="G86" i="7"/>
  <c r="I85" i="7"/>
  <c r="G85" i="7"/>
  <c r="I84" i="7"/>
  <c r="G84" i="7"/>
  <c r="I83" i="7"/>
  <c r="G83" i="7"/>
  <c r="I82" i="7"/>
  <c r="G82" i="7"/>
  <c r="I81" i="7"/>
  <c r="G81" i="7"/>
  <c r="I80" i="7"/>
  <c r="G80" i="7"/>
  <c r="I79" i="7"/>
  <c r="G79" i="7"/>
  <c r="I78" i="7"/>
  <c r="G78" i="7"/>
  <c r="I77" i="7"/>
  <c r="G77" i="7"/>
  <c r="I76" i="7"/>
  <c r="G76" i="7"/>
  <c r="I75" i="7"/>
  <c r="G75" i="7"/>
  <c r="I74" i="7"/>
  <c r="G74" i="7"/>
  <c r="I73" i="7"/>
  <c r="G73" i="7"/>
  <c r="I72" i="7"/>
  <c r="G72" i="7"/>
  <c r="I71" i="7"/>
  <c r="G71" i="7"/>
  <c r="I70" i="7"/>
  <c r="G70" i="7"/>
  <c r="I69" i="7"/>
  <c r="G69" i="7"/>
  <c r="I68" i="7"/>
  <c r="G68" i="7"/>
  <c r="I67" i="7"/>
  <c r="G67" i="7"/>
  <c r="I66" i="7"/>
  <c r="G66" i="7"/>
  <c r="I65" i="7"/>
  <c r="G65" i="7"/>
  <c r="I64" i="7"/>
  <c r="G64" i="7"/>
  <c r="I63" i="7"/>
  <c r="G63" i="7"/>
  <c r="I62" i="7"/>
  <c r="G62" i="7"/>
  <c r="I61" i="7"/>
  <c r="G61" i="7"/>
  <c r="I60" i="7"/>
  <c r="G60" i="7"/>
  <c r="I59" i="7"/>
  <c r="G59" i="7"/>
  <c r="I58" i="7"/>
  <c r="G58" i="7"/>
  <c r="I57" i="7"/>
  <c r="G57" i="7"/>
  <c r="I56" i="7"/>
  <c r="G56" i="7"/>
  <c r="I55" i="7"/>
  <c r="G55" i="7"/>
  <c r="I54" i="7"/>
  <c r="G54" i="7"/>
  <c r="I53" i="7"/>
  <c r="G53" i="7"/>
  <c r="I52" i="7"/>
  <c r="G52" i="7"/>
  <c r="I51" i="7"/>
  <c r="G51" i="7"/>
  <c r="I50" i="7"/>
  <c r="G50" i="7"/>
  <c r="I49" i="7"/>
  <c r="G49" i="7"/>
  <c r="I48" i="7"/>
  <c r="G48" i="7"/>
  <c r="I47" i="7"/>
  <c r="G47" i="7"/>
  <c r="I46" i="7"/>
  <c r="G46" i="7"/>
  <c r="I45" i="7"/>
  <c r="G45" i="7"/>
  <c r="I44" i="7"/>
  <c r="G44" i="7"/>
  <c r="I43" i="7"/>
  <c r="G43" i="7"/>
  <c r="I42" i="7"/>
  <c r="G42" i="7"/>
  <c r="I41" i="7"/>
  <c r="G41" i="7"/>
  <c r="I40" i="7"/>
  <c r="G40" i="7"/>
  <c r="I39" i="7"/>
  <c r="G39" i="7"/>
  <c r="I38" i="7"/>
  <c r="G38" i="7"/>
  <c r="I37" i="7"/>
  <c r="G37" i="7"/>
  <c r="I36" i="7"/>
  <c r="G36" i="7"/>
  <c r="I35" i="7"/>
  <c r="G35" i="7"/>
  <c r="I34" i="7"/>
  <c r="G34" i="7"/>
  <c r="I33" i="7"/>
  <c r="G33" i="7"/>
  <c r="I32" i="7"/>
  <c r="G32" i="7"/>
  <c r="I31" i="7"/>
  <c r="G31" i="7"/>
  <c r="I30" i="7"/>
  <c r="G30" i="7"/>
  <c r="I29" i="7"/>
  <c r="G29" i="7"/>
  <c r="I28" i="7"/>
  <c r="G28" i="7"/>
  <c r="I27" i="7"/>
  <c r="G27" i="7"/>
  <c r="I26" i="7"/>
  <c r="G26" i="7"/>
  <c r="I25" i="7"/>
  <c r="G25" i="7"/>
  <c r="I24" i="7"/>
  <c r="G24" i="7"/>
  <c r="I23" i="7"/>
  <c r="G23" i="7"/>
  <c r="I22" i="7"/>
  <c r="G22" i="7"/>
  <c r="I21" i="7"/>
  <c r="G21" i="7"/>
  <c r="I20" i="7"/>
  <c r="G20" i="7"/>
  <c r="I19" i="7"/>
  <c r="G19" i="7"/>
  <c r="I18" i="7"/>
  <c r="G18" i="7"/>
  <c r="I17" i="7"/>
  <c r="G17" i="7"/>
  <c r="I16" i="7"/>
  <c r="G16" i="7"/>
  <c r="I15" i="7"/>
  <c r="G15" i="7"/>
  <c r="I14" i="7"/>
  <c r="G14" i="7"/>
  <c r="I13" i="7"/>
  <c r="G13" i="7"/>
  <c r="I12" i="7"/>
  <c r="G12" i="7"/>
  <c r="I11" i="7"/>
  <c r="G11" i="7"/>
  <c r="I10" i="7"/>
  <c r="G10" i="7"/>
  <c r="I9" i="7"/>
  <c r="G9" i="7"/>
  <c r="I8" i="7"/>
  <c r="G8" i="7"/>
  <c r="I7" i="7"/>
  <c r="G7" i="7"/>
  <c r="I6" i="7"/>
  <c r="G6" i="7"/>
  <c r="I5" i="7"/>
  <c r="G5" i="7"/>
  <c r="L4" i="7"/>
  <c r="E4" i="3" s="1"/>
  <c r="I4" i="7"/>
  <c r="G4" i="7"/>
  <c r="L3" i="7"/>
  <c r="C4" i="3" s="1"/>
  <c r="I3" i="7"/>
  <c r="G3" i="7"/>
  <c r="L2" i="7"/>
  <c r="I2" i="7"/>
  <c r="G2" i="7"/>
  <c r="A4" i="3" l="1"/>
  <c r="L5" i="7"/>
  <c r="G4" i="3" s="1"/>
</calcChain>
</file>

<file path=xl/sharedStrings.xml><?xml version="1.0" encoding="utf-8"?>
<sst xmlns="http://schemas.openxmlformats.org/spreadsheetml/2006/main" count="852" uniqueCount="134">
  <si>
    <t>Order ID</t>
  </si>
  <si>
    <t>Order Date</t>
  </si>
  <si>
    <t>Product</t>
  </si>
  <si>
    <t>Category</t>
  </si>
  <si>
    <t>Quantity</t>
  </si>
  <si>
    <t>Unit Price</t>
  </si>
  <si>
    <t>Sales</t>
  </si>
  <si>
    <t>Region</t>
  </si>
  <si>
    <t>ORD-001</t>
  </si>
  <si>
    <t>Headphones</t>
  </si>
  <si>
    <t>Accessories</t>
  </si>
  <si>
    <t>Galle</t>
  </si>
  <si>
    <t>ORD-002</t>
  </si>
  <si>
    <t>SUM of Sales</t>
  </si>
  <si>
    <t>Colombo</t>
  </si>
  <si>
    <t>Keyboard</t>
  </si>
  <si>
    <t>Kandy</t>
  </si>
  <si>
    <t>Negombo</t>
  </si>
  <si>
    <t>Grand Total</t>
  </si>
  <si>
    <t>ORD-003</t>
  </si>
  <si>
    <t>Laptop</t>
  </si>
  <si>
    <t>Computers</t>
  </si>
  <si>
    <t>ORD-004</t>
  </si>
  <si>
    <t>ORD-005</t>
  </si>
  <si>
    <t>ORD-006</t>
  </si>
  <si>
    <t>Webcam</t>
  </si>
  <si>
    <t>ORD-007</t>
  </si>
  <si>
    <t>ORD-008</t>
  </si>
  <si>
    <t>Mouse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</si>
  <si>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</si>
  <si>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</si>
  <si>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</si>
  <si>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</si>
  <si>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</si>
  <si>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</si>
  <si>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</si>
  <si>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</si>
  <si>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Monitor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</si>
  <si>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</si>
  <si>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</si>
  <si>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</si>
  <si>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</si>
  <si>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</si>
  <si>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</si>
  <si>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</si>
  <si>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</si>
  <si>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</si>
  <si>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</si>
  <si>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</si>
  <si>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</si>
  <si>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</si>
  <si>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</si>
  <si>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</si>
  <si>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</si>
  <si>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</si>
  <si>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</si>
  <si>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</si>
  <si>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</si>
  <si>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</si>
  <si>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</si>
  <si>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</si>
  <si>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</si>
  <si>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</si>
  <si>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</si>
  <si>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</si>
  <si>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</si>
  <si>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</si>
  <si>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</si>
  <si>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</si>
  <si>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</si>
  <si>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NovaTech Electronics — Sales Dashboard</t>
  </si>
  <si>
    <t>ORD-049</t>
  </si>
  <si>
    <t>TOTAL SALES</t>
  </si>
  <si>
    <t>TOTAL ORDERS</t>
  </si>
  <si>
    <t>QUANTITY SOLD</t>
  </si>
  <si>
    <t>ORD-050</t>
  </si>
  <si>
    <t>AVERAGE ORDER VALUE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</si>
  <si>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</si>
  <si>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</si>
  <si>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</si>
  <si>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</si>
  <si>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</si>
  <si>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</si>
  <si>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</si>
  <si>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</si>
  <si>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</si>
  <si>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</si>
  <si>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</si>
  <si>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</si>
  <si>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</si>
  <si>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</si>
  <si>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</si>
  <si>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</si>
  <si>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Sales_Check</t>
  </si>
  <si>
    <t>ORD-067</t>
  </si>
  <si>
    <t>Metric</t>
  </si>
  <si>
    <t>value</t>
  </si>
  <si>
    <t>ORD-068</t>
  </si>
  <si>
    <t>ORD-069</t>
  </si>
  <si>
    <t>Total Sales</t>
  </si>
  <si>
    <t>ORD-070</t>
  </si>
  <si>
    <t>Total Orders</t>
  </si>
  <si>
    <t>ORD-071</t>
  </si>
  <si>
    <t>ORD-072</t>
  </si>
  <si>
    <t>Total Quantity</t>
  </si>
  <si>
    <t>ORD-073</t>
  </si>
  <si>
    <t>Average Order value</t>
  </si>
  <si>
    <t>ORD-074</t>
  </si>
  <si>
    <t>ORD-075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</si>
  <si>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</si>
  <si>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</si>
  <si>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</si>
  <si>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</si>
  <si>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</si>
  <si>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</si>
  <si>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</si>
  <si>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</si>
  <si>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</si>
  <si>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</si>
  <si>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ORD-086</t>
  </si>
  <si>
    <t>ORD-087</t>
  </si>
  <si>
    <t>ORD-088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</si>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</sst>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6" formatCode="&quot;$&quot;#,##0.00"/>
    <numFmt numFmtId="168" formatCode="[$-409]d\-mmm;@"/>
  </numFmts>
  <fonts count="10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27"/>
      <color rgb="FFEFEFEF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sz val="13"/>
      <color theme="1"/>
      <name val="Arial"/>
      <scheme val="minor"/>
    </font>
    <font>
      <b/>
      <sz val="20"/>
      <color theme="1"/>
      <name val="Arial"/>
      <scheme val="minor"/>
    </font>
    <font>
      <b/>
      <sz val="12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7" fillId="2" borderId="5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0" fontId="7" fillId="4" borderId="5" xfId="0" applyFont="1" applyFill="1" applyBorder="1" applyAlignment="1">
      <alignment vertical="top"/>
    </xf>
    <xf numFmtId="0" fontId="7" fillId="4" borderId="6" xfId="0" applyFont="1" applyFill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6" xfId="0" applyFont="1" applyFill="1" applyBorder="1" applyAlignment="1">
      <alignment vertical="top"/>
    </xf>
    <xf numFmtId="0" fontId="9" fillId="6" borderId="5" xfId="0" applyFont="1" applyFill="1" applyBorder="1" applyAlignment="1">
      <alignment vertical="top"/>
    </xf>
    <xf numFmtId="0" fontId="9" fillId="6" borderId="6" xfId="0" applyFont="1" applyFill="1" applyBorder="1" applyAlignment="1">
      <alignment vertical="top"/>
    </xf>
    <xf numFmtId="0" fontId="2" fillId="4" borderId="9" xfId="0" applyFont="1" applyFill="1" applyBorder="1"/>
    <xf numFmtId="0" fontId="3" fillId="0" borderId="9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7" fillId="6" borderId="1" xfId="0" applyFont="1" applyFill="1" applyBorder="1" applyAlignment="1">
      <alignment horizontal="center" vertical="top"/>
    </xf>
    <xf numFmtId="0" fontId="6" fillId="0" borderId="2" xfId="0" applyFont="1" applyBorder="1"/>
    <xf numFmtId="166" fontId="8" fillId="6" borderId="0" xfId="0" applyNumberFormat="1" applyFont="1" applyFill="1" applyAlignment="1">
      <alignment horizontal="center" vertical="center" wrapText="1"/>
    </xf>
    <xf numFmtId="0" fontId="6" fillId="0" borderId="4" xfId="0" applyFont="1" applyBorder="1"/>
    <xf numFmtId="0" fontId="4" fillId="3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8" fillId="5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6" fontId="8" fillId="2" borderId="3" xfId="0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3" fillId="7" borderId="1" xfId="0" applyFont="1" applyFill="1" applyBorder="1"/>
    <xf numFmtId="0" fontId="6" fillId="0" borderId="7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6" xfId="0" applyFont="1" applyBorder="1"/>
    <xf numFmtId="0" fontId="0" fillId="0" borderId="10" xfId="0" pivotButton="1" applyBorder="1"/>
    <xf numFmtId="0" fontId="0" fillId="0" borderId="11" xfId="0" applyBorder="1"/>
    <xf numFmtId="0" fontId="0" fillId="0" borderId="11" xfId="0" applyNumberFormat="1" applyBorder="1"/>
    <xf numFmtId="0" fontId="0" fillId="0" borderId="13" xfId="0" applyNumberFormat="1" applyBorder="1"/>
    <xf numFmtId="0" fontId="0" fillId="0" borderId="15" xfId="0" applyNumberFormat="1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168" fontId="0" fillId="0" borderId="10" xfId="0" applyNumberFormat="1" applyBorder="1"/>
    <xf numFmtId="168" fontId="0" fillId="0" borderId="12" xfId="0" applyNumberFormat="1" applyBorder="1"/>
    <xf numFmtId="168" fontId="0" fillId="0" borderId="14" xfId="0" applyNumberFormat="1" applyBorder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Raw_Data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lean_Data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rgbClr val="757575"/>
                </a:solidFill>
                <a:latin typeface="Lora"/>
              </a:defRPr>
            </a:pPr>
            <a:r>
              <a:rPr lang="en-US" sz="2400" b="1">
                <a:solidFill>
                  <a:srgbClr val="757575"/>
                </a:solidFill>
                <a:latin typeface="Lora"/>
              </a:rPr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PT_Monthly!$B$1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PT_Monthly!$A$2:$A$10</c:f>
              <c:numCache>
                <c:formatCode>[$-409]d\-mmm;@</c:formatCode>
                <c:ptCount val="9"/>
                <c:pt idx="0">
                  <c:v>46026</c:v>
                </c:pt>
                <c:pt idx="1">
                  <c:v>46027</c:v>
                </c:pt>
                <c:pt idx="2">
                  <c:v>46030</c:v>
                </c:pt>
                <c:pt idx="3">
                  <c:v>46036</c:v>
                </c:pt>
                <c:pt idx="4">
                  <c:v>46040</c:v>
                </c:pt>
                <c:pt idx="5">
                  <c:v>46041</c:v>
                </c:pt>
                <c:pt idx="6">
                  <c:v>46049</c:v>
                </c:pt>
                <c:pt idx="7">
                  <c:v>46052</c:v>
                </c:pt>
                <c:pt idx="8">
                  <c:v>46053</c:v>
                </c:pt>
              </c:numCache>
            </c:numRef>
          </c:cat>
          <c:val>
            <c:numRef>
              <c:f>PT_Monthly!$B$2:$B$10</c:f>
              <c:numCache>
                <c:formatCode>General</c:formatCode>
                <c:ptCount val="9"/>
                <c:pt idx="0">
                  <c:v>12500</c:v>
                </c:pt>
                <c:pt idx="1">
                  <c:v>8500</c:v>
                </c:pt>
                <c:pt idx="2">
                  <c:v>8500</c:v>
                </c:pt>
                <c:pt idx="3">
                  <c:v>555000</c:v>
                </c:pt>
                <c:pt idx="4">
                  <c:v>29400</c:v>
                </c:pt>
                <c:pt idx="5">
                  <c:v>62000</c:v>
                </c:pt>
                <c:pt idx="6">
                  <c:v>185000</c:v>
                </c:pt>
                <c:pt idx="7">
                  <c:v>62500</c:v>
                </c:pt>
                <c:pt idx="8">
                  <c:v>185000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E-4560-8792-BAF4DA471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307307"/>
        <c:axId val="449537617"/>
      </c:lineChart>
      <c:dateAx>
        <c:axId val="357307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Order Date - Year-Month</a:t>
                </a:r>
              </a:p>
            </c:rich>
          </c:tx>
          <c:overlay val="0"/>
        </c:title>
        <c:numFmt formatCode="[$-409]d\-mmm;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9537617"/>
        <c:crosses val="autoZero"/>
        <c:auto val="1"/>
        <c:lblOffset val="100"/>
        <c:baseTimeUnit val="days"/>
      </c:dateAx>
      <c:valAx>
        <c:axId val="449537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73073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757575"/>
                </a:solidFill>
                <a:latin typeface="Lora"/>
              </a:defRPr>
            </a:pPr>
            <a:r>
              <a:rPr lang="en-US" sz="2000" b="1">
                <a:solidFill>
                  <a:srgbClr val="757575"/>
                </a:solidFill>
                <a:latin typeface="Lora"/>
              </a:rPr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PT_Category!$B$1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PT_Category!$A$2:$A$4</c:f>
              <c:strCache>
                <c:ptCount val="3"/>
                <c:pt idx="0">
                  <c:v>Accessories</c:v>
                </c:pt>
                <c:pt idx="1">
                  <c:v>Computers</c:v>
                </c:pt>
                <c:pt idx="2">
                  <c:v>Grand Total</c:v>
                </c:pt>
              </c:strCache>
            </c:strRef>
          </c:cat>
          <c:val>
            <c:numRef>
              <c:f>PT_Category!$B$2:$B$4</c:f>
              <c:numCache>
                <c:formatCode>General</c:formatCode>
                <c:ptCount val="3"/>
                <c:pt idx="0">
                  <c:v>1216200</c:v>
                </c:pt>
                <c:pt idx="1">
                  <c:v>8581000</c:v>
                </c:pt>
                <c:pt idx="2">
                  <c:v>9797200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F-454D-B0CE-523FD3247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22680"/>
        <c:axId val="1607247661"/>
      </c:barChart>
      <c:catAx>
        <c:axId val="80622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7247661"/>
        <c:crosses val="autoZero"/>
        <c:auto val="1"/>
        <c:lblAlgn val="ctr"/>
        <c:lblOffset val="100"/>
        <c:noMultiLvlLbl val="1"/>
      </c:catAx>
      <c:valAx>
        <c:axId val="1607247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6226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757575"/>
                </a:solidFill>
                <a:latin typeface="Lora"/>
              </a:defRPr>
            </a:pPr>
            <a:r>
              <a:rPr lang="en-US" sz="2000" b="1">
                <a:solidFill>
                  <a:srgbClr val="757575"/>
                </a:solidFill>
                <a:latin typeface="Lora"/>
              </a:rPr>
              <a:t>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PT_Product!$B$1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PT_Product!$A$2:$A$8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Webcam</c:v>
                </c:pt>
                <c:pt idx="6">
                  <c:v>Grand Total</c:v>
                </c:pt>
              </c:strCache>
            </c:strRef>
          </c:cat>
          <c:val>
            <c:numRef>
              <c:f>PT_Product!$B$2:$B$8</c:f>
              <c:numCache>
                <c:formatCode>General</c:formatCode>
                <c:ptCount val="7"/>
                <c:pt idx="0">
                  <c:v>487500</c:v>
                </c:pt>
                <c:pt idx="1">
                  <c:v>297500</c:v>
                </c:pt>
                <c:pt idx="2">
                  <c:v>6845000</c:v>
                </c:pt>
                <c:pt idx="3">
                  <c:v>1736000</c:v>
                </c:pt>
                <c:pt idx="4">
                  <c:v>147000</c:v>
                </c:pt>
                <c:pt idx="5">
                  <c:v>284200</c:v>
                </c:pt>
                <c:pt idx="6">
                  <c:v>9797200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6-4E62-8BED-CB8F53DD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633955"/>
        <c:axId val="478562907"/>
      </c:barChart>
      <c:catAx>
        <c:axId val="1474633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8562907"/>
        <c:crosses val="autoZero"/>
        <c:auto val="1"/>
        <c:lblAlgn val="ctr"/>
        <c:lblOffset val="100"/>
        <c:noMultiLvlLbl val="1"/>
      </c:catAx>
      <c:valAx>
        <c:axId val="478562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46339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757575"/>
                </a:solidFill>
                <a:latin typeface="Lora"/>
              </a:defRPr>
            </a:pPr>
            <a:r>
              <a:rPr lang="en-US" sz="2000" b="1">
                <a:solidFill>
                  <a:srgbClr val="757575"/>
                </a:solidFill>
                <a:latin typeface="Lora"/>
              </a:rPr>
              <a:t>Sales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PT_Region!$B$1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PT_Region!$A$2:$A$6</c:f>
              <c:strCache>
                <c:ptCount val="5"/>
                <c:pt idx="0">
                  <c:v>Colombo</c:v>
                </c:pt>
                <c:pt idx="1">
                  <c:v>Galle</c:v>
                </c:pt>
                <c:pt idx="2">
                  <c:v>Kandy</c:v>
                </c:pt>
                <c:pt idx="3">
                  <c:v>Negombo</c:v>
                </c:pt>
                <c:pt idx="4">
                  <c:v>Grand Total</c:v>
                </c:pt>
              </c:strCache>
            </c:strRef>
          </c:cat>
          <c:val>
            <c:numRef>
              <c:f>PT_Region!$B$2:$B$6</c:f>
              <c:numCache>
                <c:formatCode>General</c:formatCode>
                <c:ptCount val="5"/>
                <c:pt idx="0">
                  <c:v>2270500</c:v>
                </c:pt>
                <c:pt idx="1">
                  <c:v>1469700</c:v>
                </c:pt>
                <c:pt idx="2">
                  <c:v>3435800</c:v>
                </c:pt>
                <c:pt idx="3">
                  <c:v>2621200</c:v>
                </c:pt>
                <c:pt idx="4">
                  <c:v>9797200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B-4790-9145-045E309AF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286800"/>
        <c:axId val="275174007"/>
      </c:barChart>
      <c:catAx>
        <c:axId val="8602868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5174007"/>
        <c:crosses val="autoZero"/>
        <c:auto val="1"/>
        <c:lblAlgn val="ctr"/>
        <c:lblOffset val="100"/>
        <c:noMultiLvlLbl val="1"/>
      </c:catAx>
      <c:valAx>
        <c:axId val="2751740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028680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757575"/>
                </a:solidFill>
                <a:latin typeface="Lora"/>
              </a:defRPr>
            </a:pPr>
            <a:r>
              <a:rPr lang="en-US" sz="2000" b="1">
                <a:solidFill>
                  <a:srgbClr val="757575"/>
                </a:solidFill>
                <a:latin typeface="Lora"/>
              </a:rPr>
              <a:t>Sales by Product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463517060367453"/>
          <c:y val="0.2537286612758311"/>
          <c:w val="0.61272598425196856"/>
          <c:h val="0.5449000007074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PT_Product!$B$1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PT_Product!$A$2:$A$8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Webcam</c:v>
                </c:pt>
                <c:pt idx="6">
                  <c:v>Grand Total</c:v>
                </c:pt>
              </c:strCache>
            </c:strRef>
          </c:cat>
          <c:val>
            <c:numRef>
              <c:f>PT_Product!$B$2:$B$8</c:f>
              <c:numCache>
                <c:formatCode>General</c:formatCode>
                <c:ptCount val="7"/>
                <c:pt idx="0">
                  <c:v>487500</c:v>
                </c:pt>
                <c:pt idx="1">
                  <c:v>297500</c:v>
                </c:pt>
                <c:pt idx="2">
                  <c:v>6845000</c:v>
                </c:pt>
                <c:pt idx="3">
                  <c:v>1736000</c:v>
                </c:pt>
                <c:pt idx="4">
                  <c:v>147000</c:v>
                </c:pt>
                <c:pt idx="5">
                  <c:v>284200</c:v>
                </c:pt>
                <c:pt idx="6">
                  <c:v>9797200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2-479C-856E-FDE4A0A90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850735"/>
        <c:axId val="64376331"/>
      </c:barChart>
      <c:catAx>
        <c:axId val="150285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376331"/>
        <c:crosses val="autoZero"/>
        <c:auto val="1"/>
        <c:lblAlgn val="ctr"/>
        <c:lblOffset val="100"/>
        <c:noMultiLvlLbl val="1"/>
      </c:catAx>
      <c:valAx>
        <c:axId val="64376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2850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201930</xdr:colOff>
      <xdr:row>6</xdr:row>
      <xdr:rowOff>121920</xdr:rowOff>
    </xdr:from>
    <xdr:ext cx="3859530" cy="223456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127635</xdr:colOff>
      <xdr:row>6</xdr:row>
      <xdr:rowOff>137160</xdr:rowOff>
    </xdr:from>
    <xdr:ext cx="3354705" cy="215074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186690</xdr:colOff>
      <xdr:row>20</xdr:row>
      <xdr:rowOff>99061</xdr:rowOff>
    </xdr:from>
    <xdr:ext cx="3768090" cy="195072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260985</xdr:colOff>
      <xdr:row>20</xdr:row>
      <xdr:rowOff>45719</xdr:rowOff>
    </xdr:from>
    <xdr:ext cx="2947035" cy="20859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388620</xdr:colOff>
      <xdr:row>2</xdr:row>
      <xdr:rowOff>91440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dy" refreshedDate="46317.43395150463" refreshedVersion="8" recordCount="100" xr:uid="{00000000-000A-0000-FFFF-FFFF00000000}">
  <cacheSource type="worksheet">
    <worksheetSource ref="A3:H103" sheet="Raw_Data"/>
  </cacheSource>
  <cacheFields count="8">
    <cacheField name="Order ID" numFmtId="0">
      <sharedItems/>
    </cacheField>
    <cacheField name="Order Date" numFmtId="164">
      <sharedItems containsSemiMixedTypes="0" containsNonDate="0" containsDate="1" containsString="0" minDate="2026-01-04T00:00:00" maxDate="2026-10-01T00:00:00" count="83">
        <d v="2026-06-05T00:00:00"/>
        <d v="2026-05-23T00:00:00"/>
        <d v="2026-08-03T00:00:00"/>
        <d v="2026-07-25T00:00:00"/>
        <d v="2026-04-11T00:00:00"/>
        <d v="2026-04-18T00:00:00"/>
        <d v="2026-02-05T00:00:00"/>
        <d v="2026-08-31T00:00:00"/>
        <d v="2026-09-17T00:00:00"/>
        <d v="2026-01-27T00:00:00"/>
        <d v="2026-07-11T00:00:00"/>
        <d v="2026-04-20T00:00:00"/>
        <d v="2026-01-30T00:00:00"/>
        <d v="2026-04-09T00:00:00"/>
        <d v="2026-06-28T00:00:00"/>
        <d v="2026-05-20T00:00:00"/>
        <d v="2026-05-13T00:00:00"/>
        <d v="2026-09-06T00:00:00"/>
        <d v="2026-03-12T00:00:00"/>
        <d v="2026-07-20T00:00:00"/>
        <d v="2026-03-19T00:00:00"/>
        <d v="2026-06-06T00:00:00"/>
        <d v="2026-05-09T00:00:00"/>
        <d v="2026-02-13T00:00:00"/>
        <d v="2026-05-16T00:00:00"/>
        <d v="2026-09-07T00:00:00"/>
        <d v="2026-07-28T00:00:00"/>
        <d v="2026-04-22T00:00:00"/>
        <d v="2026-04-07T00:00:00"/>
        <d v="2026-09-23T00:00:00"/>
        <d v="2026-06-18T00:00:00"/>
        <d v="2026-06-10T00:00:00"/>
        <d v="2026-04-19T00:00:00"/>
        <d v="2026-02-17T00:00:00"/>
        <d v="2026-04-02T00:00:00"/>
        <d v="2026-09-16T00:00:00"/>
        <d v="2026-08-20T00:00:00"/>
        <d v="2026-01-05T00:00:00"/>
        <d v="2026-01-08T00:00:00"/>
        <d v="2026-06-04T00:00:00"/>
        <d v="2026-01-14T00:00:00"/>
        <d v="2026-04-24T00:00:00"/>
        <d v="2026-08-08T00:00:00"/>
        <d v="2026-08-02T00:00:00"/>
        <d v="2026-06-23T00:00:00"/>
        <d v="2026-01-18T00:00:00"/>
        <d v="2026-06-21T00:00:00"/>
        <d v="2026-09-11T00:00:00"/>
        <d v="2026-05-08T00:00:00"/>
        <d v="2026-04-13T00:00:00"/>
        <d v="2026-08-13T00:00:00"/>
        <d v="2026-03-20T00:00:00"/>
        <d v="2026-06-12T00:00:00"/>
        <d v="2026-08-15T00:00:00"/>
        <d v="2026-01-04T00:00:00"/>
        <d v="2026-08-09T00:00:00"/>
        <d v="2026-03-29T00:00:00"/>
        <d v="2026-03-18T00:00:00"/>
        <d v="2026-06-16T00:00:00"/>
        <d v="2026-05-12T00:00:00"/>
        <d v="2026-07-09T00:00:00"/>
        <d v="2026-02-10T00:00:00"/>
        <d v="2026-04-15T00:00:00"/>
        <d v="2026-01-31T00:00:00"/>
        <d v="2026-07-26T00:00:00"/>
        <d v="2026-02-06T00:00:00"/>
        <d v="2026-09-14T00:00:00"/>
        <d v="2026-08-12T00:00:00"/>
        <d v="2026-07-13T00:00:00"/>
        <d v="2026-05-03T00:00:00"/>
        <d v="2026-03-30T00:00:00"/>
        <d v="2026-04-05T00:00:00"/>
        <d v="2026-03-08T00:00:00"/>
        <d v="2026-01-19T00:00:00"/>
        <d v="2026-02-14T00:00:00"/>
        <d v="2026-09-30T00:00:00"/>
        <d v="2026-05-15T00:00:00"/>
        <d v="2026-05-26T00:00:00"/>
        <d v="2026-05-31T00:00:00"/>
        <d v="2026-09-03T00:00:00"/>
        <d v="2026-09-10T00:00:00"/>
        <d v="2026-02-28T00:00:00"/>
        <d v="2026-07-15T00:00:00"/>
      </sharedItems>
    </cacheField>
    <cacheField name="Product" numFmtId="0">
      <sharedItems count="6">
        <s v="Headphones"/>
        <s v="Keyboard"/>
        <s v="Laptop"/>
        <s v="Webcam"/>
        <s v="Mouse"/>
        <s v="Monitor"/>
      </sharedItems>
    </cacheField>
    <cacheField name="Category" numFmtId="0">
      <sharedItems count="2">
        <s v="Accessories"/>
        <s v="Computers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4200" maxValue="185000"/>
    </cacheField>
    <cacheField name="Sales" numFmtId="0">
      <sharedItems containsSemiMixedTypes="0" containsString="0" containsNumber="1" containsInteger="1" minValue="4200" maxValue="925000"/>
    </cacheField>
    <cacheField name="Region" numFmtId="0">
      <sharedItems count="4">
        <s v="Galle"/>
        <s v="Colombo"/>
        <s v="Kandy"/>
        <s v="Negomb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001"/>
    <x v="0"/>
    <x v="0"/>
    <x v="0"/>
    <n v="1"/>
    <n v="12500"/>
    <n v="12500"/>
    <x v="0"/>
  </r>
  <r>
    <s v="ORD-002"/>
    <x v="1"/>
    <x v="1"/>
    <x v="0"/>
    <n v="1"/>
    <n v="8500"/>
    <n v="8500"/>
    <x v="1"/>
  </r>
  <r>
    <s v="ORD-003"/>
    <x v="2"/>
    <x v="2"/>
    <x v="1"/>
    <n v="1"/>
    <n v="185000"/>
    <n v="185000"/>
    <x v="0"/>
  </r>
  <r>
    <s v="ORD-004"/>
    <x v="3"/>
    <x v="0"/>
    <x v="0"/>
    <n v="3"/>
    <n v="12500"/>
    <n v="37500"/>
    <x v="2"/>
  </r>
  <r>
    <s v="ORD-005"/>
    <x v="4"/>
    <x v="0"/>
    <x v="0"/>
    <n v="1"/>
    <n v="12500"/>
    <n v="12500"/>
    <x v="2"/>
  </r>
  <r>
    <s v="ORD-006"/>
    <x v="5"/>
    <x v="3"/>
    <x v="0"/>
    <n v="2"/>
    <n v="9800"/>
    <n v="19600"/>
    <x v="0"/>
  </r>
  <r>
    <s v="ORD-007"/>
    <x v="6"/>
    <x v="0"/>
    <x v="0"/>
    <n v="1"/>
    <n v="12500"/>
    <n v="12500"/>
    <x v="0"/>
  </r>
  <r>
    <s v="ORD-008"/>
    <x v="7"/>
    <x v="4"/>
    <x v="0"/>
    <n v="1"/>
    <n v="4200"/>
    <n v="4200"/>
    <x v="2"/>
  </r>
  <r>
    <s v="ORD-009"/>
    <x v="8"/>
    <x v="3"/>
    <x v="0"/>
    <n v="3"/>
    <n v="9800"/>
    <n v="29400"/>
    <x v="0"/>
  </r>
  <r>
    <s v="ORD-010"/>
    <x v="9"/>
    <x v="2"/>
    <x v="1"/>
    <n v="1"/>
    <n v="185000"/>
    <n v="185000"/>
    <x v="0"/>
  </r>
  <r>
    <s v="ORD-011"/>
    <x v="10"/>
    <x v="2"/>
    <x v="1"/>
    <n v="5"/>
    <n v="185000"/>
    <n v="925000"/>
    <x v="1"/>
  </r>
  <r>
    <s v="ORD-012"/>
    <x v="11"/>
    <x v="4"/>
    <x v="0"/>
    <n v="1"/>
    <n v="4200"/>
    <n v="4200"/>
    <x v="2"/>
  </r>
  <r>
    <s v="ORD-013"/>
    <x v="12"/>
    <x v="0"/>
    <x v="0"/>
    <n v="5"/>
    <n v="12500"/>
    <n v="62500"/>
    <x v="0"/>
  </r>
  <r>
    <s v="ORD-014"/>
    <x v="13"/>
    <x v="2"/>
    <x v="1"/>
    <n v="3"/>
    <n v="185000"/>
    <n v="555000"/>
    <x v="2"/>
  </r>
  <r>
    <s v="ORD-015"/>
    <x v="14"/>
    <x v="1"/>
    <x v="0"/>
    <n v="2"/>
    <n v="8500"/>
    <n v="17000"/>
    <x v="0"/>
  </r>
  <r>
    <s v="ORD-016"/>
    <x v="15"/>
    <x v="5"/>
    <x v="1"/>
    <n v="1"/>
    <n v="62000"/>
    <n v="62000"/>
    <x v="0"/>
  </r>
  <r>
    <s v="ORD-017"/>
    <x v="14"/>
    <x v="2"/>
    <x v="1"/>
    <n v="1"/>
    <n v="185000"/>
    <n v="185000"/>
    <x v="1"/>
  </r>
  <r>
    <s v="ORD-018"/>
    <x v="7"/>
    <x v="4"/>
    <x v="0"/>
    <n v="3"/>
    <n v="4200"/>
    <n v="12600"/>
    <x v="1"/>
  </r>
  <r>
    <s v="ORD-019"/>
    <x v="16"/>
    <x v="3"/>
    <x v="0"/>
    <n v="1"/>
    <n v="9800"/>
    <n v="9800"/>
    <x v="1"/>
  </r>
  <r>
    <s v="ORD-020"/>
    <x v="17"/>
    <x v="3"/>
    <x v="0"/>
    <n v="5"/>
    <n v="9800"/>
    <n v="49000"/>
    <x v="1"/>
  </r>
  <r>
    <s v="ORD-021"/>
    <x v="18"/>
    <x v="0"/>
    <x v="0"/>
    <n v="2"/>
    <n v="12500"/>
    <n v="25000"/>
    <x v="3"/>
  </r>
  <r>
    <s v="ORD-022"/>
    <x v="19"/>
    <x v="4"/>
    <x v="0"/>
    <n v="3"/>
    <n v="4200"/>
    <n v="12600"/>
    <x v="2"/>
  </r>
  <r>
    <s v="ORD-023"/>
    <x v="20"/>
    <x v="5"/>
    <x v="1"/>
    <n v="5"/>
    <n v="62000"/>
    <n v="310000"/>
    <x v="1"/>
  </r>
  <r>
    <s v="ORD-024"/>
    <x v="21"/>
    <x v="5"/>
    <x v="1"/>
    <n v="1"/>
    <n v="62000"/>
    <n v="62000"/>
    <x v="0"/>
  </r>
  <r>
    <s v="ORD-025"/>
    <x v="2"/>
    <x v="1"/>
    <x v="0"/>
    <n v="1"/>
    <n v="8500"/>
    <n v="8500"/>
    <x v="1"/>
  </r>
  <r>
    <s v="ORD-026"/>
    <x v="22"/>
    <x v="3"/>
    <x v="0"/>
    <n v="3"/>
    <n v="9800"/>
    <n v="29400"/>
    <x v="3"/>
  </r>
  <r>
    <s v="ORD-027"/>
    <x v="23"/>
    <x v="4"/>
    <x v="0"/>
    <n v="1"/>
    <n v="4200"/>
    <n v="4200"/>
    <x v="2"/>
  </r>
  <r>
    <s v="ORD-028"/>
    <x v="24"/>
    <x v="5"/>
    <x v="1"/>
    <n v="2"/>
    <n v="62000"/>
    <n v="124000"/>
    <x v="2"/>
  </r>
  <r>
    <s v="ORD-029"/>
    <x v="25"/>
    <x v="1"/>
    <x v="0"/>
    <n v="1"/>
    <n v="8500"/>
    <n v="8500"/>
    <x v="3"/>
  </r>
  <r>
    <s v="ORD-030"/>
    <x v="26"/>
    <x v="4"/>
    <x v="0"/>
    <n v="1"/>
    <n v="4200"/>
    <n v="4200"/>
    <x v="3"/>
  </r>
  <r>
    <s v="ORD-031"/>
    <x v="27"/>
    <x v="2"/>
    <x v="1"/>
    <n v="5"/>
    <n v="185000"/>
    <n v="925000"/>
    <x v="2"/>
  </r>
  <r>
    <s v="ORD-032"/>
    <x v="28"/>
    <x v="4"/>
    <x v="0"/>
    <n v="1"/>
    <n v="4200"/>
    <n v="4200"/>
    <x v="0"/>
  </r>
  <r>
    <s v="ORD-033"/>
    <x v="29"/>
    <x v="0"/>
    <x v="0"/>
    <n v="1"/>
    <n v="12500"/>
    <n v="12500"/>
    <x v="3"/>
  </r>
  <r>
    <s v="ORD-034"/>
    <x v="30"/>
    <x v="2"/>
    <x v="1"/>
    <n v="4"/>
    <n v="185000"/>
    <n v="740000"/>
    <x v="2"/>
  </r>
  <r>
    <s v="ORD-035"/>
    <x v="31"/>
    <x v="0"/>
    <x v="0"/>
    <n v="1"/>
    <n v="12500"/>
    <n v="12500"/>
    <x v="0"/>
  </r>
  <r>
    <s v="ORD-036"/>
    <x v="32"/>
    <x v="5"/>
    <x v="1"/>
    <n v="5"/>
    <n v="62000"/>
    <n v="310000"/>
    <x v="0"/>
  </r>
  <r>
    <s v="ORD-037"/>
    <x v="33"/>
    <x v="4"/>
    <x v="0"/>
    <n v="1"/>
    <n v="4200"/>
    <n v="4200"/>
    <x v="1"/>
  </r>
  <r>
    <s v="ORD-038"/>
    <x v="34"/>
    <x v="0"/>
    <x v="0"/>
    <n v="1"/>
    <n v="12500"/>
    <n v="12500"/>
    <x v="3"/>
  </r>
  <r>
    <s v="ORD-039"/>
    <x v="35"/>
    <x v="4"/>
    <x v="0"/>
    <n v="1"/>
    <n v="4200"/>
    <n v="4200"/>
    <x v="2"/>
  </r>
  <r>
    <s v="ORD-040"/>
    <x v="36"/>
    <x v="0"/>
    <x v="0"/>
    <n v="2"/>
    <n v="12500"/>
    <n v="25000"/>
    <x v="1"/>
  </r>
  <r>
    <s v="ORD-041"/>
    <x v="37"/>
    <x v="1"/>
    <x v="0"/>
    <n v="1"/>
    <n v="8500"/>
    <n v="8500"/>
    <x v="3"/>
  </r>
  <r>
    <s v="ORD-042"/>
    <x v="32"/>
    <x v="1"/>
    <x v="0"/>
    <n v="3"/>
    <n v="8500"/>
    <n v="25500"/>
    <x v="1"/>
  </r>
  <r>
    <s v="ORD-043"/>
    <x v="38"/>
    <x v="1"/>
    <x v="0"/>
    <n v="1"/>
    <n v="8500"/>
    <n v="8500"/>
    <x v="1"/>
  </r>
  <r>
    <s v="ORD-044"/>
    <x v="39"/>
    <x v="2"/>
    <x v="1"/>
    <n v="2"/>
    <n v="185000"/>
    <n v="370000"/>
    <x v="2"/>
  </r>
  <r>
    <s v="ORD-045"/>
    <x v="40"/>
    <x v="2"/>
    <x v="1"/>
    <n v="3"/>
    <n v="185000"/>
    <n v="555000"/>
    <x v="3"/>
  </r>
  <r>
    <s v="ORD-046"/>
    <x v="41"/>
    <x v="0"/>
    <x v="0"/>
    <n v="3"/>
    <n v="12500"/>
    <n v="37500"/>
    <x v="1"/>
  </r>
  <r>
    <s v="ORD-047"/>
    <x v="42"/>
    <x v="4"/>
    <x v="0"/>
    <n v="3"/>
    <n v="4200"/>
    <n v="12600"/>
    <x v="1"/>
  </r>
  <r>
    <s v="ORD-048"/>
    <x v="28"/>
    <x v="3"/>
    <x v="0"/>
    <n v="2"/>
    <n v="9800"/>
    <n v="19600"/>
    <x v="0"/>
  </r>
  <r>
    <s v="ORD-049"/>
    <x v="43"/>
    <x v="1"/>
    <x v="0"/>
    <n v="1"/>
    <n v="8500"/>
    <n v="8500"/>
    <x v="3"/>
  </r>
  <r>
    <s v="ORD-050"/>
    <x v="44"/>
    <x v="2"/>
    <x v="1"/>
    <n v="2"/>
    <n v="185000"/>
    <n v="370000"/>
    <x v="1"/>
  </r>
  <r>
    <s v="ORD-051"/>
    <x v="45"/>
    <x v="3"/>
    <x v="0"/>
    <n v="3"/>
    <n v="9800"/>
    <n v="29400"/>
    <x v="0"/>
  </r>
  <r>
    <s v="ORD-052"/>
    <x v="46"/>
    <x v="1"/>
    <x v="0"/>
    <n v="1"/>
    <n v="8500"/>
    <n v="8500"/>
    <x v="2"/>
  </r>
  <r>
    <s v="ORD-053"/>
    <x v="47"/>
    <x v="0"/>
    <x v="0"/>
    <n v="3"/>
    <n v="12500"/>
    <n v="37500"/>
    <x v="0"/>
  </r>
  <r>
    <s v="ORD-054"/>
    <x v="48"/>
    <x v="4"/>
    <x v="0"/>
    <n v="1"/>
    <n v="4200"/>
    <n v="4200"/>
    <x v="1"/>
  </r>
  <r>
    <s v="ORD-055"/>
    <x v="49"/>
    <x v="3"/>
    <x v="0"/>
    <n v="1"/>
    <n v="9800"/>
    <n v="9800"/>
    <x v="3"/>
  </r>
  <r>
    <s v="ORD-056"/>
    <x v="35"/>
    <x v="1"/>
    <x v="0"/>
    <n v="1"/>
    <n v="8500"/>
    <n v="8500"/>
    <x v="2"/>
  </r>
  <r>
    <s v="ORD-057"/>
    <x v="50"/>
    <x v="1"/>
    <x v="0"/>
    <n v="1"/>
    <n v="8500"/>
    <n v="8500"/>
    <x v="3"/>
  </r>
  <r>
    <s v="ORD-058"/>
    <x v="51"/>
    <x v="0"/>
    <x v="0"/>
    <n v="2"/>
    <n v="12500"/>
    <n v="25000"/>
    <x v="2"/>
  </r>
  <r>
    <s v="ORD-059"/>
    <x v="52"/>
    <x v="5"/>
    <x v="1"/>
    <n v="2"/>
    <n v="62000"/>
    <n v="124000"/>
    <x v="3"/>
  </r>
  <r>
    <s v="ORD-060"/>
    <x v="26"/>
    <x v="1"/>
    <x v="0"/>
    <n v="5"/>
    <n v="8500"/>
    <n v="42500"/>
    <x v="1"/>
  </r>
  <r>
    <s v="ORD-061"/>
    <x v="20"/>
    <x v="0"/>
    <x v="0"/>
    <n v="1"/>
    <n v="12500"/>
    <n v="12500"/>
    <x v="2"/>
  </r>
  <r>
    <s v="ORD-062"/>
    <x v="53"/>
    <x v="4"/>
    <x v="0"/>
    <n v="2"/>
    <n v="4200"/>
    <n v="8400"/>
    <x v="2"/>
  </r>
  <r>
    <s v="ORD-063"/>
    <x v="47"/>
    <x v="1"/>
    <x v="0"/>
    <n v="4"/>
    <n v="8500"/>
    <n v="34000"/>
    <x v="0"/>
  </r>
  <r>
    <s v="ORD-064"/>
    <x v="54"/>
    <x v="0"/>
    <x v="0"/>
    <n v="1"/>
    <n v="12500"/>
    <n v="12500"/>
    <x v="1"/>
  </r>
  <r>
    <s v="ORD-065"/>
    <x v="55"/>
    <x v="1"/>
    <x v="0"/>
    <n v="2"/>
    <n v="8500"/>
    <n v="17000"/>
    <x v="1"/>
  </r>
  <r>
    <s v="ORD-066"/>
    <x v="56"/>
    <x v="0"/>
    <x v="0"/>
    <n v="1"/>
    <n v="12500"/>
    <n v="12500"/>
    <x v="1"/>
  </r>
  <r>
    <s v="ORD-067"/>
    <x v="44"/>
    <x v="1"/>
    <x v="0"/>
    <n v="1"/>
    <n v="8500"/>
    <n v="8500"/>
    <x v="3"/>
  </r>
  <r>
    <s v="ORD-068"/>
    <x v="57"/>
    <x v="1"/>
    <x v="0"/>
    <n v="1"/>
    <n v="8500"/>
    <n v="8500"/>
    <x v="0"/>
  </r>
  <r>
    <s v="ORD-069"/>
    <x v="58"/>
    <x v="1"/>
    <x v="0"/>
    <n v="1"/>
    <n v="8500"/>
    <n v="8500"/>
    <x v="2"/>
  </r>
  <r>
    <s v="ORD-070"/>
    <x v="59"/>
    <x v="4"/>
    <x v="0"/>
    <n v="1"/>
    <n v="4200"/>
    <n v="4200"/>
    <x v="2"/>
  </r>
  <r>
    <s v="ORD-071"/>
    <x v="60"/>
    <x v="5"/>
    <x v="1"/>
    <n v="1"/>
    <n v="62000"/>
    <n v="62000"/>
    <x v="3"/>
  </r>
  <r>
    <s v="ORD-072"/>
    <x v="61"/>
    <x v="4"/>
    <x v="0"/>
    <n v="1"/>
    <n v="4200"/>
    <n v="4200"/>
    <x v="0"/>
  </r>
  <r>
    <s v="ORD-073"/>
    <x v="62"/>
    <x v="4"/>
    <x v="0"/>
    <n v="5"/>
    <n v="4200"/>
    <n v="21000"/>
    <x v="0"/>
  </r>
  <r>
    <s v="ORD-074"/>
    <x v="63"/>
    <x v="2"/>
    <x v="1"/>
    <n v="1"/>
    <n v="185000"/>
    <n v="185000"/>
    <x v="0"/>
  </r>
  <r>
    <s v="ORD-075"/>
    <x v="64"/>
    <x v="3"/>
    <x v="0"/>
    <n v="2"/>
    <n v="9800"/>
    <n v="19600"/>
    <x v="3"/>
  </r>
  <r>
    <s v="ORD-076"/>
    <x v="39"/>
    <x v="0"/>
    <x v="0"/>
    <n v="1"/>
    <n v="12500"/>
    <n v="12500"/>
    <x v="3"/>
  </r>
  <r>
    <s v="ORD-077"/>
    <x v="11"/>
    <x v="5"/>
    <x v="1"/>
    <n v="3"/>
    <n v="62000"/>
    <n v="186000"/>
    <x v="2"/>
  </r>
  <r>
    <s v="ORD-078"/>
    <x v="4"/>
    <x v="5"/>
    <x v="1"/>
    <n v="3"/>
    <n v="62000"/>
    <n v="186000"/>
    <x v="2"/>
  </r>
  <r>
    <s v="ORD-079"/>
    <x v="65"/>
    <x v="3"/>
    <x v="0"/>
    <n v="3"/>
    <n v="9800"/>
    <n v="29400"/>
    <x v="3"/>
  </r>
  <r>
    <s v="ORD-080"/>
    <x v="66"/>
    <x v="3"/>
    <x v="0"/>
    <n v="1"/>
    <n v="9800"/>
    <n v="9800"/>
    <x v="2"/>
  </r>
  <r>
    <s v="ORD-081"/>
    <x v="53"/>
    <x v="0"/>
    <x v="0"/>
    <n v="2"/>
    <n v="12500"/>
    <n v="25000"/>
    <x v="1"/>
  </r>
  <r>
    <s v="ORD-082"/>
    <x v="67"/>
    <x v="5"/>
    <x v="1"/>
    <n v="1"/>
    <n v="62000"/>
    <n v="62000"/>
    <x v="3"/>
  </r>
  <r>
    <s v="ORD-083"/>
    <x v="68"/>
    <x v="5"/>
    <x v="1"/>
    <n v="2"/>
    <n v="62000"/>
    <n v="124000"/>
    <x v="3"/>
  </r>
  <r>
    <s v="ORD-084"/>
    <x v="69"/>
    <x v="1"/>
    <x v="0"/>
    <n v="3"/>
    <n v="8500"/>
    <n v="25500"/>
    <x v="0"/>
  </r>
  <r>
    <s v="ORD-085"/>
    <x v="70"/>
    <x v="4"/>
    <x v="0"/>
    <n v="4"/>
    <n v="4200"/>
    <n v="16800"/>
    <x v="3"/>
  </r>
  <r>
    <s v="ORD-086"/>
    <x v="26"/>
    <x v="2"/>
    <x v="1"/>
    <n v="2"/>
    <n v="185000"/>
    <n v="370000"/>
    <x v="3"/>
  </r>
  <r>
    <s v="ORD-087"/>
    <x v="71"/>
    <x v="2"/>
    <x v="1"/>
    <n v="5"/>
    <n v="185000"/>
    <n v="925000"/>
    <x v="3"/>
  </r>
  <r>
    <s v="ORD-088"/>
    <x v="72"/>
    <x v="2"/>
    <x v="1"/>
    <n v="1"/>
    <n v="185000"/>
    <n v="185000"/>
    <x v="2"/>
  </r>
  <r>
    <s v="ORD-089"/>
    <x v="73"/>
    <x v="5"/>
    <x v="1"/>
    <n v="1"/>
    <n v="62000"/>
    <n v="62000"/>
    <x v="1"/>
  </r>
  <r>
    <s v="ORD-090"/>
    <x v="74"/>
    <x v="1"/>
    <x v="0"/>
    <n v="1"/>
    <n v="8500"/>
    <n v="8500"/>
    <x v="0"/>
  </r>
  <r>
    <s v="ORD-091"/>
    <x v="75"/>
    <x v="0"/>
    <x v="0"/>
    <n v="2"/>
    <n v="12500"/>
    <n v="25000"/>
    <x v="0"/>
  </r>
  <r>
    <s v="ORD-092"/>
    <x v="76"/>
    <x v="3"/>
    <x v="0"/>
    <n v="1"/>
    <n v="9800"/>
    <n v="9800"/>
    <x v="1"/>
  </r>
  <r>
    <s v="ORD-093"/>
    <x v="77"/>
    <x v="3"/>
    <x v="0"/>
    <n v="1"/>
    <n v="9800"/>
    <n v="9800"/>
    <x v="1"/>
  </r>
  <r>
    <s v="ORD-094"/>
    <x v="78"/>
    <x v="3"/>
    <x v="0"/>
    <n v="1"/>
    <n v="9800"/>
    <n v="9800"/>
    <x v="0"/>
  </r>
  <r>
    <s v="ORD-095"/>
    <x v="66"/>
    <x v="4"/>
    <x v="0"/>
    <n v="5"/>
    <n v="4200"/>
    <n v="21000"/>
    <x v="1"/>
  </r>
  <r>
    <s v="ORD-096"/>
    <x v="79"/>
    <x v="2"/>
    <x v="1"/>
    <n v="1"/>
    <n v="185000"/>
    <n v="185000"/>
    <x v="3"/>
  </r>
  <r>
    <s v="ORD-097"/>
    <x v="80"/>
    <x v="1"/>
    <x v="0"/>
    <n v="3"/>
    <n v="8500"/>
    <n v="25500"/>
    <x v="0"/>
  </r>
  <r>
    <s v="ORD-098"/>
    <x v="81"/>
    <x v="5"/>
    <x v="1"/>
    <n v="1"/>
    <n v="62000"/>
    <n v="62000"/>
    <x v="0"/>
  </r>
  <r>
    <s v="ORD-099"/>
    <x v="82"/>
    <x v="0"/>
    <x v="0"/>
    <n v="3"/>
    <n v="12500"/>
    <n v="37500"/>
    <x v="1"/>
  </r>
  <r>
    <s v="ORD-100"/>
    <x v="61"/>
    <x v="0"/>
    <x v="0"/>
    <n v="2"/>
    <n v="12500"/>
    <n v="2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T_Monthly" cacheId="7" applyNumberFormats="0" applyBorderFormats="0" applyFontFormats="0" applyPatternFormats="0" applyAlignmentFormats="0" applyWidthHeightFormats="0" dataCaption="" updatedVersion="8" compact="0" compactData="0">
  <location ref="A1:B85" firstHeaderRow="1" firstDataRow="1" firstDataCol="1"/>
  <pivotFields count="8">
    <pivotField name="Order ID" compact="0" outline="0" multipleItemSelectionAllowed="1" showAll="0"/>
    <pivotField name="Order Date" axis="axisRow" compact="0" numFmtId="168" outline="0" multipleItemSelectionAllowed="1" showAll="0" sortType="ascending">
      <items count="84">
        <item x="54"/>
        <item x="37"/>
        <item x="38"/>
        <item x="40"/>
        <item x="45"/>
        <item x="73"/>
        <item x="9"/>
        <item x="12"/>
        <item x="63"/>
        <item x="6"/>
        <item x="65"/>
        <item x="61"/>
        <item x="23"/>
        <item x="74"/>
        <item x="33"/>
        <item x="81"/>
        <item x="72"/>
        <item x="18"/>
        <item x="57"/>
        <item x="20"/>
        <item x="51"/>
        <item x="56"/>
        <item x="70"/>
        <item x="34"/>
        <item x="71"/>
        <item x="28"/>
        <item x="13"/>
        <item x="4"/>
        <item x="49"/>
        <item x="62"/>
        <item x="5"/>
        <item x="32"/>
        <item x="11"/>
        <item x="27"/>
        <item x="41"/>
        <item x="69"/>
        <item x="48"/>
        <item x="22"/>
        <item x="59"/>
        <item x="16"/>
        <item x="76"/>
        <item x="24"/>
        <item x="15"/>
        <item x="1"/>
        <item x="77"/>
        <item x="78"/>
        <item x="39"/>
        <item x="0"/>
        <item x="21"/>
        <item x="31"/>
        <item x="52"/>
        <item x="58"/>
        <item x="30"/>
        <item x="46"/>
        <item x="44"/>
        <item x="14"/>
        <item x="60"/>
        <item x="10"/>
        <item x="68"/>
        <item x="82"/>
        <item x="19"/>
        <item x="3"/>
        <item x="64"/>
        <item x="26"/>
        <item x="43"/>
        <item x="2"/>
        <item x="42"/>
        <item x="55"/>
        <item x="67"/>
        <item x="50"/>
        <item x="53"/>
        <item x="36"/>
        <item x="7"/>
        <item x="79"/>
        <item x="17"/>
        <item x="25"/>
        <item x="80"/>
        <item x="47"/>
        <item x="66"/>
        <item x="35"/>
        <item x="8"/>
        <item x="29"/>
        <item x="75"/>
        <item t="default"/>
      </items>
    </pivotField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Unit Price" compact="0" outline="0" multipleItemSelectionAllowed="1" showAll="0"/>
    <pivotField name="Sales" dataField="1" compact="0" outline="0" multipleItemSelectionAllowed="1" showAll="0"/>
    <pivotField name="Region" compact="0" outline="0" multipleItemSelectionAllowed="1" showAll="0"/>
  </pivotFields>
  <rowFields count="1">
    <field x="1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SUM of Sale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T_Region" cacheId="7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8">
    <pivotField name="Order ID" compact="0" outline="0" multipleItemSelectionAllowed="1" showAll="0"/>
    <pivotField name="Order Date" compact="0" numFmtId="164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Unit Price" compact="0" outline="0" multipleItemSelectionAllowed="1" showAll="0"/>
    <pivotField name="Sales" dataField="1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2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T_Category" cacheId="7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8">
    <pivotField name="Order ID" compact="0" outline="0" multipleItemSelectionAllowed="1" showAll="0"/>
    <pivotField name="Order Date" compact="0" numFmtId="164" outline="0" multipleItemSelectionAllowed="1" showAll="0"/>
    <pivotField name="Product" compact="0" outline="0" multipleItemSelectionAllowed="1" showAll="0"/>
    <pivotField name="Category" axis="axisRow" compact="0" outline="0" multipleItemSelectionAllowed="1" showAll="0" sortType="ascending">
      <items count="3">
        <item x="0"/>
        <item x="1"/>
        <item t="default"/>
      </items>
    </pivotField>
    <pivotField name="Quantity" compact="0" outline="0" multipleItemSelectionAllowed="1" showAll="0"/>
    <pivotField name="Unit Price" compact="0" outline="0" multipleItemSelectionAllowed="1" showAll="0"/>
    <pivotField name="Sales" dataField="1" compact="0" outline="0" multipleItemSelectionAllowed="1" showAll="0"/>
    <pivotField name="Region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T_Product" cacheId="7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8">
    <pivotField name="Order ID" compact="0" outline="0" multipleItemSelectionAllowed="1" showAll="0"/>
    <pivotField name="Order Date" compact="0" numFmtId="164" outline="0" multipleItemSelectionAllowed="1" showAll="0"/>
    <pivotField name="Product" axis="axisRow" compact="0" outline="0" multipleItemSelectionAllowed="1" showAll="0" sortType="ascending">
      <items count="7">
        <item x="0"/>
        <item x="1"/>
        <item x="2"/>
        <item x="5"/>
        <item x="4"/>
        <item x="3"/>
        <item t="default"/>
      </items>
    </pivotField>
    <pivotField name="Category" compact="0" outline="0" multipleItemSelectionAllowed="1" showAll="0"/>
    <pivotField name="Quantity" compact="0" outline="0" multipleItemSelectionAllowed="1" showAll="0"/>
    <pivotField name="Unit Price" compact="0" outline="0" multipleItemSelectionAllowed="1" showAll="0"/>
    <pivotField name="Sales" dataField="1" compact="0" outline="0" multipleItemSelectionAllowed="1" showAll="0"/>
    <pivotField name="Region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_" displayName="SalesTable_" ref="A3:H103">
  <tableColumns count="8">
    <tableColumn id="1" xr3:uid="{00000000-0010-0000-0000-000001000000}" name="Order ID"/>
    <tableColumn id="2" xr3:uid="{00000000-0010-0000-0000-000002000000}" name="Order Date"/>
    <tableColumn id="3" xr3:uid="{00000000-0010-0000-0000-000003000000}" name="Product"/>
    <tableColumn id="4" xr3:uid="{00000000-0010-0000-0000-000004000000}" name="Category"/>
    <tableColumn id="5" xr3:uid="{00000000-0010-0000-0000-000005000000}" name="Quantity"/>
    <tableColumn id="6" xr3:uid="{00000000-0010-0000-0000-000006000000}" name="Unit Price"/>
    <tableColumn id="7" xr3:uid="{00000000-0010-0000-0000-000007000000}" name="Sales"/>
    <tableColumn id="8" xr3:uid="{00000000-0010-0000-0000-000008000000}" name="Region"/>
  </tableColumns>
  <tableStyleInfo name="Raw_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I101">
  <tableColumns count="9">
    <tableColumn id="1" xr3:uid="{00000000-0010-0000-0100-000001000000}" name="Order ID"/>
    <tableColumn id="2" xr3:uid="{00000000-0010-0000-0100-000002000000}" name="Order Date"/>
    <tableColumn id="3" xr3:uid="{00000000-0010-0000-0100-000003000000}" name="Product"/>
    <tableColumn id="4" xr3:uid="{00000000-0010-0000-0100-000004000000}" name="Category"/>
    <tableColumn id="5" xr3:uid="{00000000-0010-0000-0100-000005000000}" name="Quantity"/>
    <tableColumn id="6" xr3:uid="{00000000-0010-0000-0100-000006000000}" name="Unit Price"/>
    <tableColumn id="7" xr3:uid="{00000000-0010-0000-0100-000007000000}" name="Sales"/>
    <tableColumn id="8" xr3:uid="{00000000-0010-0000-0100-000008000000}" name="Region"/>
    <tableColumn id="9" xr3:uid="{00000000-0010-0000-0100-000009000000}" name="Sales_Check"/>
  </tableColumns>
  <tableStyleInfo name="Clean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"/>
  <sheetViews>
    <sheetView workbookViewId="0"/>
  </sheetViews>
  <sheetFormatPr defaultColWidth="12.6640625" defaultRowHeight="15.75" customHeight="1" x14ac:dyDescent="0.25"/>
  <cols>
    <col min="2" max="2" width="16.77734375" customWidth="1"/>
    <col min="6" max="6" width="12.88671875" customWidth="1"/>
  </cols>
  <sheetData>
    <row r="1" spans="1:26" ht="21" x14ac:dyDescent="0.4">
      <c r="A1" s="15"/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25">
      <c r="A4" s="3" t="s">
        <v>8</v>
      </c>
      <c r="B4" s="4">
        <v>46178</v>
      </c>
      <c r="C4" s="3" t="s">
        <v>9</v>
      </c>
      <c r="D4" s="3" t="s">
        <v>10</v>
      </c>
      <c r="E4" s="3">
        <v>1</v>
      </c>
      <c r="F4" s="3">
        <v>12500</v>
      </c>
      <c r="G4" s="3">
        <v>12500</v>
      </c>
      <c r="H4" s="3" t="s">
        <v>11</v>
      </c>
    </row>
    <row r="5" spans="1:26" ht="22.5" customHeight="1" x14ac:dyDescent="0.25">
      <c r="A5" s="3" t="s">
        <v>12</v>
      </c>
      <c r="B5" s="4">
        <v>46165</v>
      </c>
      <c r="C5" s="3" t="s">
        <v>15</v>
      </c>
      <c r="D5" s="3" t="s">
        <v>10</v>
      </c>
      <c r="E5" s="3">
        <v>1</v>
      </c>
      <c r="F5" s="3">
        <v>8500</v>
      </c>
      <c r="G5" s="3">
        <v>8500</v>
      </c>
      <c r="H5" s="3" t="s">
        <v>14</v>
      </c>
    </row>
    <row r="6" spans="1:26" ht="22.5" customHeight="1" x14ac:dyDescent="0.25">
      <c r="A6" s="3" t="s">
        <v>19</v>
      </c>
      <c r="B6" s="4">
        <v>46237</v>
      </c>
      <c r="C6" s="3" t="s">
        <v>20</v>
      </c>
      <c r="D6" s="3" t="s">
        <v>21</v>
      </c>
      <c r="E6" s="3">
        <v>1</v>
      </c>
      <c r="F6" s="3">
        <v>185000</v>
      </c>
      <c r="G6" s="3">
        <v>185000</v>
      </c>
      <c r="H6" s="3" t="s">
        <v>11</v>
      </c>
    </row>
    <row r="7" spans="1:26" ht="22.5" customHeight="1" x14ac:dyDescent="0.25">
      <c r="A7" s="3" t="s">
        <v>22</v>
      </c>
      <c r="B7" s="4">
        <v>46228</v>
      </c>
      <c r="C7" s="3" t="s">
        <v>9</v>
      </c>
      <c r="D7" s="3" t="s">
        <v>10</v>
      </c>
      <c r="E7" s="3">
        <v>3</v>
      </c>
      <c r="F7" s="3">
        <v>12500</v>
      </c>
      <c r="G7" s="3">
        <v>37500</v>
      </c>
      <c r="H7" s="3" t="s">
        <v>16</v>
      </c>
    </row>
    <row r="8" spans="1:26" ht="22.5" customHeight="1" x14ac:dyDescent="0.25">
      <c r="A8" s="3" t="s">
        <v>23</v>
      </c>
      <c r="B8" s="4">
        <v>46123</v>
      </c>
      <c r="C8" s="3" t="s">
        <v>9</v>
      </c>
      <c r="D8" s="3" t="s">
        <v>10</v>
      </c>
      <c r="E8" s="3">
        <v>1</v>
      </c>
      <c r="F8" s="3">
        <v>12500</v>
      </c>
      <c r="G8" s="3">
        <v>12500</v>
      </c>
      <c r="H8" s="3" t="s">
        <v>16</v>
      </c>
    </row>
    <row r="9" spans="1:26" ht="22.5" customHeight="1" x14ac:dyDescent="0.25">
      <c r="A9" s="3" t="s">
        <v>24</v>
      </c>
      <c r="B9" s="4">
        <v>46130</v>
      </c>
      <c r="C9" s="3" t="s">
        <v>25</v>
      </c>
      <c r="D9" s="3" t="s">
        <v>10</v>
      </c>
      <c r="E9" s="3">
        <v>2</v>
      </c>
      <c r="F9" s="3">
        <v>9800</v>
      </c>
      <c r="G9" s="3">
        <v>19600</v>
      </c>
      <c r="H9" s="3" t="s">
        <v>11</v>
      </c>
    </row>
    <row r="10" spans="1:26" ht="22.5" customHeight="1" x14ac:dyDescent="0.25">
      <c r="A10" s="3" t="s">
        <v>26</v>
      </c>
      <c r="B10" s="4">
        <v>46058</v>
      </c>
      <c r="C10" s="3" t="s">
        <v>9</v>
      </c>
      <c r="D10" s="3" t="s">
        <v>10</v>
      </c>
      <c r="E10" s="3">
        <v>1</v>
      </c>
      <c r="F10" s="3">
        <v>12500</v>
      </c>
      <c r="G10" s="3">
        <v>12500</v>
      </c>
      <c r="H10" s="3" t="s">
        <v>11</v>
      </c>
    </row>
    <row r="11" spans="1:26" ht="22.5" customHeight="1" x14ac:dyDescent="0.25">
      <c r="A11" s="3" t="s">
        <v>27</v>
      </c>
      <c r="B11" s="4">
        <v>46265</v>
      </c>
      <c r="C11" s="3" t="s">
        <v>28</v>
      </c>
      <c r="D11" s="3" t="s">
        <v>10</v>
      </c>
      <c r="E11" s="3">
        <v>1</v>
      </c>
      <c r="F11" s="3">
        <v>4200</v>
      </c>
      <c r="G11" s="3">
        <v>4200</v>
      </c>
      <c r="H11" s="3" t="s">
        <v>16</v>
      </c>
    </row>
    <row r="12" spans="1:26" ht="22.5" customHeight="1" x14ac:dyDescent="0.25">
      <c r="A12" s="3" t="s">
        <v>29</v>
      </c>
      <c r="B12" s="4">
        <v>46282</v>
      </c>
      <c r="C12" s="3" t="s">
        <v>25</v>
      </c>
      <c r="D12" s="3" t="s">
        <v>10</v>
      </c>
      <c r="E12" s="3">
        <v>3</v>
      </c>
      <c r="F12" s="3">
        <v>9800</v>
      </c>
      <c r="G12" s="3">
        <v>29400</v>
      </c>
      <c r="H12" s="3" t="s">
        <v>11</v>
      </c>
    </row>
    <row r="13" spans="1:26" ht="22.5" customHeight="1" x14ac:dyDescent="0.25">
      <c r="A13" s="3" t="s">
        <v>30</v>
      </c>
      <c r="B13" s="4">
        <v>46049</v>
      </c>
      <c r="C13" s="3" t="s">
        <v>20</v>
      </c>
      <c r="D13" s="3" t="s">
        <v>21</v>
      </c>
      <c r="E13" s="3">
        <v>1</v>
      </c>
      <c r="F13" s="3">
        <v>185000</v>
      </c>
      <c r="G13" s="3">
        <v>185000</v>
      </c>
      <c r="H13" s="3" t="s">
        <v>11</v>
      </c>
    </row>
    <row r="14" spans="1:26" ht="22.5" customHeight="1" x14ac:dyDescent="0.25">
      <c r="A14" s="3" t="s">
        <v>31</v>
      </c>
      <c r="B14" s="4">
        <v>46214</v>
      </c>
      <c r="C14" s="3" t="s">
        <v>20</v>
      </c>
      <c r="D14" s="3" t="s">
        <v>21</v>
      </c>
      <c r="E14" s="3">
        <v>5</v>
      </c>
      <c r="F14" s="3">
        <v>185000</v>
      </c>
      <c r="G14" s="3">
        <v>925000</v>
      </c>
      <c r="H14" s="3" t="s">
        <v>14</v>
      </c>
    </row>
    <row r="15" spans="1:26" ht="22.5" customHeight="1" x14ac:dyDescent="0.25">
      <c r="A15" s="3" t="s">
        <v>32</v>
      </c>
      <c r="B15" s="4">
        <v>46132</v>
      </c>
      <c r="C15" s="3" t="s">
        <v>28</v>
      </c>
      <c r="D15" s="3" t="s">
        <v>10</v>
      </c>
      <c r="E15" s="3">
        <v>1</v>
      </c>
      <c r="F15" s="3">
        <v>4200</v>
      </c>
      <c r="G15" s="3">
        <v>4200</v>
      </c>
      <c r="H15" s="3" t="s">
        <v>16</v>
      </c>
    </row>
    <row r="16" spans="1:26" ht="22.5" customHeight="1" x14ac:dyDescent="0.25">
      <c r="A16" s="3" t="s">
        <v>33</v>
      </c>
      <c r="B16" s="4">
        <v>46052</v>
      </c>
      <c r="C16" s="3" t="s">
        <v>9</v>
      </c>
      <c r="D16" s="3" t="s">
        <v>10</v>
      </c>
      <c r="E16" s="3">
        <v>5</v>
      </c>
      <c r="F16" s="3">
        <v>12500</v>
      </c>
      <c r="G16" s="3">
        <v>62500</v>
      </c>
      <c r="H16" s="3" t="s">
        <v>11</v>
      </c>
    </row>
    <row r="17" spans="1:8" ht="22.5" customHeight="1" x14ac:dyDescent="0.25">
      <c r="A17" s="3" t="s">
        <v>34</v>
      </c>
      <c r="B17" s="4">
        <v>46121</v>
      </c>
      <c r="C17" s="3" t="s">
        <v>20</v>
      </c>
      <c r="D17" s="3" t="s">
        <v>21</v>
      </c>
      <c r="E17" s="3">
        <v>3</v>
      </c>
      <c r="F17" s="3">
        <v>185000</v>
      </c>
      <c r="G17" s="3">
        <v>555000</v>
      </c>
      <c r="H17" s="3" t="s">
        <v>16</v>
      </c>
    </row>
    <row r="18" spans="1:8" ht="22.5" customHeight="1" x14ac:dyDescent="0.25">
      <c r="A18" s="3" t="s">
        <v>35</v>
      </c>
      <c r="B18" s="4">
        <v>46201</v>
      </c>
      <c r="C18" s="3" t="s">
        <v>15</v>
      </c>
      <c r="D18" s="3" t="s">
        <v>10</v>
      </c>
      <c r="E18" s="3">
        <v>2</v>
      </c>
      <c r="F18" s="3">
        <v>8500</v>
      </c>
      <c r="G18" s="3">
        <v>17000</v>
      </c>
      <c r="H18" s="3" t="s">
        <v>11</v>
      </c>
    </row>
    <row r="19" spans="1:8" ht="22.5" customHeight="1" x14ac:dyDescent="0.25">
      <c r="A19" s="3" t="s">
        <v>36</v>
      </c>
      <c r="B19" s="4">
        <v>46162</v>
      </c>
      <c r="C19" s="3" t="s">
        <v>37</v>
      </c>
      <c r="D19" s="3" t="s">
        <v>21</v>
      </c>
      <c r="E19" s="3">
        <v>1</v>
      </c>
      <c r="F19" s="3">
        <v>62000</v>
      </c>
      <c r="G19" s="3">
        <v>62000</v>
      </c>
      <c r="H19" s="3" t="s">
        <v>11</v>
      </c>
    </row>
    <row r="20" spans="1:8" ht="22.5" customHeight="1" x14ac:dyDescent="0.25">
      <c r="A20" s="3" t="s">
        <v>38</v>
      </c>
      <c r="B20" s="4">
        <v>46201</v>
      </c>
      <c r="C20" s="3" t="s">
        <v>20</v>
      </c>
      <c r="D20" s="3" t="s">
        <v>21</v>
      </c>
      <c r="E20" s="3">
        <v>1</v>
      </c>
      <c r="F20" s="3">
        <v>185000</v>
      </c>
      <c r="G20" s="3">
        <v>185000</v>
      </c>
      <c r="H20" s="3" t="s">
        <v>14</v>
      </c>
    </row>
    <row r="21" spans="1:8" ht="22.5" customHeight="1" x14ac:dyDescent="0.25">
      <c r="A21" s="3" t="s">
        <v>39</v>
      </c>
      <c r="B21" s="4">
        <v>46265</v>
      </c>
      <c r="C21" s="3" t="s">
        <v>28</v>
      </c>
      <c r="D21" s="3" t="s">
        <v>10</v>
      </c>
      <c r="E21" s="3">
        <v>3</v>
      </c>
      <c r="F21" s="3">
        <v>4200</v>
      </c>
      <c r="G21" s="3">
        <v>12600</v>
      </c>
      <c r="H21" s="3" t="s">
        <v>14</v>
      </c>
    </row>
    <row r="22" spans="1:8" ht="22.5" customHeight="1" x14ac:dyDescent="0.25">
      <c r="A22" s="3" t="s">
        <v>40</v>
      </c>
      <c r="B22" s="4">
        <v>46155</v>
      </c>
      <c r="C22" s="3" t="s">
        <v>25</v>
      </c>
      <c r="D22" s="3" t="s">
        <v>10</v>
      </c>
      <c r="E22" s="3">
        <v>1</v>
      </c>
      <c r="F22" s="3">
        <v>9800</v>
      </c>
      <c r="G22" s="3">
        <v>9800</v>
      </c>
      <c r="H22" s="3" t="s">
        <v>14</v>
      </c>
    </row>
    <row r="23" spans="1:8" ht="22.5" customHeight="1" x14ac:dyDescent="0.25">
      <c r="A23" s="3" t="s">
        <v>41</v>
      </c>
      <c r="B23" s="4">
        <v>46271</v>
      </c>
      <c r="C23" s="3" t="s">
        <v>25</v>
      </c>
      <c r="D23" s="3" t="s">
        <v>10</v>
      </c>
      <c r="E23" s="3">
        <v>5</v>
      </c>
      <c r="F23" s="3">
        <v>9800</v>
      </c>
      <c r="G23" s="3">
        <v>49000</v>
      </c>
      <c r="H23" s="3" t="s">
        <v>14</v>
      </c>
    </row>
    <row r="24" spans="1:8" ht="22.5" customHeight="1" x14ac:dyDescent="0.25">
      <c r="A24" s="3" t="s">
        <v>42</v>
      </c>
      <c r="B24" s="4">
        <v>46093</v>
      </c>
      <c r="C24" s="3" t="s">
        <v>9</v>
      </c>
      <c r="D24" s="3" t="s">
        <v>10</v>
      </c>
      <c r="E24" s="3">
        <v>2</v>
      </c>
      <c r="F24" s="3">
        <v>12500</v>
      </c>
      <c r="G24" s="3">
        <v>25000</v>
      </c>
      <c r="H24" s="3" t="s">
        <v>17</v>
      </c>
    </row>
    <row r="25" spans="1:8" ht="22.5" customHeight="1" x14ac:dyDescent="0.25">
      <c r="A25" s="3" t="s">
        <v>43</v>
      </c>
      <c r="B25" s="4">
        <v>46223</v>
      </c>
      <c r="C25" s="3" t="s">
        <v>28</v>
      </c>
      <c r="D25" s="3" t="s">
        <v>10</v>
      </c>
      <c r="E25" s="3">
        <v>3</v>
      </c>
      <c r="F25" s="3">
        <v>4200</v>
      </c>
      <c r="G25" s="3">
        <v>12600</v>
      </c>
      <c r="H25" s="3" t="s">
        <v>16</v>
      </c>
    </row>
    <row r="26" spans="1:8" ht="22.5" customHeight="1" x14ac:dyDescent="0.25">
      <c r="A26" s="3" t="s">
        <v>44</v>
      </c>
      <c r="B26" s="4">
        <v>46100</v>
      </c>
      <c r="C26" s="3" t="s">
        <v>37</v>
      </c>
      <c r="D26" s="3" t="s">
        <v>21</v>
      </c>
      <c r="E26" s="3">
        <v>5</v>
      </c>
      <c r="F26" s="3">
        <v>62000</v>
      </c>
      <c r="G26" s="3">
        <v>310000</v>
      </c>
      <c r="H26" s="3" t="s">
        <v>14</v>
      </c>
    </row>
    <row r="27" spans="1:8" ht="22.5" customHeight="1" x14ac:dyDescent="0.25">
      <c r="A27" s="3" t="s">
        <v>45</v>
      </c>
      <c r="B27" s="4">
        <v>46179</v>
      </c>
      <c r="C27" s="3" t="s">
        <v>37</v>
      </c>
      <c r="D27" s="3" t="s">
        <v>21</v>
      </c>
      <c r="E27" s="3">
        <v>1</v>
      </c>
      <c r="F27" s="3">
        <v>62000</v>
      </c>
      <c r="G27" s="3">
        <v>62000</v>
      </c>
      <c r="H27" s="3" t="s">
        <v>11</v>
      </c>
    </row>
    <row r="28" spans="1:8" ht="22.5" customHeight="1" x14ac:dyDescent="0.25">
      <c r="A28" s="3" t="s">
        <v>46</v>
      </c>
      <c r="B28" s="4">
        <v>46237</v>
      </c>
      <c r="C28" s="3" t="s">
        <v>15</v>
      </c>
      <c r="D28" s="3" t="s">
        <v>10</v>
      </c>
      <c r="E28" s="3">
        <v>1</v>
      </c>
      <c r="F28" s="3">
        <v>8500</v>
      </c>
      <c r="G28" s="3">
        <v>8500</v>
      </c>
      <c r="H28" s="3" t="s">
        <v>14</v>
      </c>
    </row>
    <row r="29" spans="1:8" ht="22.5" customHeight="1" x14ac:dyDescent="0.25">
      <c r="A29" s="3" t="s">
        <v>47</v>
      </c>
      <c r="B29" s="4">
        <v>46151</v>
      </c>
      <c r="C29" s="3" t="s">
        <v>25</v>
      </c>
      <c r="D29" s="3" t="s">
        <v>10</v>
      </c>
      <c r="E29" s="3">
        <v>3</v>
      </c>
      <c r="F29" s="3">
        <v>9800</v>
      </c>
      <c r="G29" s="3">
        <v>29400</v>
      </c>
      <c r="H29" s="3" t="s">
        <v>17</v>
      </c>
    </row>
    <row r="30" spans="1:8" ht="22.5" customHeight="1" x14ac:dyDescent="0.25">
      <c r="A30" s="3" t="s">
        <v>48</v>
      </c>
      <c r="B30" s="4">
        <v>46066</v>
      </c>
      <c r="C30" s="3" t="s">
        <v>28</v>
      </c>
      <c r="D30" s="3" t="s">
        <v>10</v>
      </c>
      <c r="E30" s="3">
        <v>1</v>
      </c>
      <c r="F30" s="3">
        <v>4200</v>
      </c>
      <c r="G30" s="3">
        <v>4200</v>
      </c>
      <c r="H30" s="3" t="s">
        <v>16</v>
      </c>
    </row>
    <row r="31" spans="1:8" ht="22.5" customHeight="1" x14ac:dyDescent="0.25">
      <c r="A31" s="3" t="s">
        <v>49</v>
      </c>
      <c r="B31" s="4">
        <v>46158</v>
      </c>
      <c r="C31" s="3" t="s">
        <v>37</v>
      </c>
      <c r="D31" s="3" t="s">
        <v>21</v>
      </c>
      <c r="E31" s="3">
        <v>2</v>
      </c>
      <c r="F31" s="3">
        <v>62000</v>
      </c>
      <c r="G31" s="3">
        <v>124000</v>
      </c>
      <c r="H31" s="3" t="s">
        <v>16</v>
      </c>
    </row>
    <row r="32" spans="1:8" ht="22.5" customHeight="1" x14ac:dyDescent="0.25">
      <c r="A32" s="3" t="s">
        <v>50</v>
      </c>
      <c r="B32" s="4">
        <v>46272</v>
      </c>
      <c r="C32" s="3" t="s">
        <v>15</v>
      </c>
      <c r="D32" s="3" t="s">
        <v>10</v>
      </c>
      <c r="E32" s="3">
        <v>1</v>
      </c>
      <c r="F32" s="3">
        <v>8500</v>
      </c>
      <c r="G32" s="3">
        <v>8500</v>
      </c>
      <c r="H32" s="3" t="s">
        <v>17</v>
      </c>
    </row>
    <row r="33" spans="1:8" ht="22.5" customHeight="1" x14ac:dyDescent="0.25">
      <c r="A33" s="3" t="s">
        <v>51</v>
      </c>
      <c r="B33" s="4">
        <v>46231</v>
      </c>
      <c r="C33" s="3" t="s">
        <v>28</v>
      </c>
      <c r="D33" s="3" t="s">
        <v>10</v>
      </c>
      <c r="E33" s="3">
        <v>1</v>
      </c>
      <c r="F33" s="3">
        <v>4200</v>
      </c>
      <c r="G33" s="3">
        <v>4200</v>
      </c>
      <c r="H33" s="3" t="s">
        <v>17</v>
      </c>
    </row>
    <row r="34" spans="1:8" ht="22.5" customHeight="1" x14ac:dyDescent="0.25">
      <c r="A34" s="3" t="s">
        <v>52</v>
      </c>
      <c r="B34" s="4">
        <v>46134</v>
      </c>
      <c r="C34" s="3" t="s">
        <v>20</v>
      </c>
      <c r="D34" s="3" t="s">
        <v>21</v>
      </c>
      <c r="E34" s="3">
        <v>5</v>
      </c>
      <c r="F34" s="3">
        <v>185000</v>
      </c>
      <c r="G34" s="3">
        <v>925000</v>
      </c>
      <c r="H34" s="3" t="s">
        <v>16</v>
      </c>
    </row>
    <row r="35" spans="1:8" ht="22.5" customHeight="1" x14ac:dyDescent="0.25">
      <c r="A35" s="3" t="s">
        <v>53</v>
      </c>
      <c r="B35" s="4">
        <v>46119</v>
      </c>
      <c r="C35" s="3" t="s">
        <v>28</v>
      </c>
      <c r="D35" s="3" t="s">
        <v>10</v>
      </c>
      <c r="E35" s="3">
        <v>1</v>
      </c>
      <c r="F35" s="3">
        <v>4200</v>
      </c>
      <c r="G35" s="3">
        <v>4200</v>
      </c>
      <c r="H35" s="3" t="s">
        <v>11</v>
      </c>
    </row>
    <row r="36" spans="1:8" ht="22.5" customHeight="1" x14ac:dyDescent="0.25">
      <c r="A36" s="3" t="s">
        <v>54</v>
      </c>
      <c r="B36" s="4">
        <v>46288</v>
      </c>
      <c r="C36" s="3" t="s">
        <v>9</v>
      </c>
      <c r="D36" s="3" t="s">
        <v>10</v>
      </c>
      <c r="E36" s="3">
        <v>1</v>
      </c>
      <c r="F36" s="3">
        <v>12500</v>
      </c>
      <c r="G36" s="3">
        <v>12500</v>
      </c>
      <c r="H36" s="3" t="s">
        <v>17</v>
      </c>
    </row>
    <row r="37" spans="1:8" ht="22.5" customHeight="1" x14ac:dyDescent="0.25">
      <c r="A37" s="3" t="s">
        <v>55</v>
      </c>
      <c r="B37" s="4">
        <v>46191</v>
      </c>
      <c r="C37" s="3" t="s">
        <v>20</v>
      </c>
      <c r="D37" s="3" t="s">
        <v>21</v>
      </c>
      <c r="E37" s="3">
        <v>4</v>
      </c>
      <c r="F37" s="3">
        <v>185000</v>
      </c>
      <c r="G37" s="3">
        <v>740000</v>
      </c>
      <c r="H37" s="3" t="s">
        <v>16</v>
      </c>
    </row>
    <row r="38" spans="1:8" ht="22.5" customHeight="1" x14ac:dyDescent="0.25">
      <c r="A38" s="3" t="s">
        <v>56</v>
      </c>
      <c r="B38" s="4">
        <v>46183</v>
      </c>
      <c r="C38" s="3" t="s">
        <v>9</v>
      </c>
      <c r="D38" s="3" t="s">
        <v>10</v>
      </c>
      <c r="E38" s="3">
        <v>1</v>
      </c>
      <c r="F38" s="3">
        <v>12500</v>
      </c>
      <c r="G38" s="3">
        <v>12500</v>
      </c>
      <c r="H38" s="3" t="s">
        <v>11</v>
      </c>
    </row>
    <row r="39" spans="1:8" ht="22.5" customHeight="1" x14ac:dyDescent="0.25">
      <c r="A39" s="3" t="s">
        <v>57</v>
      </c>
      <c r="B39" s="4">
        <v>46131</v>
      </c>
      <c r="C39" s="3" t="s">
        <v>37</v>
      </c>
      <c r="D39" s="3" t="s">
        <v>21</v>
      </c>
      <c r="E39" s="3">
        <v>5</v>
      </c>
      <c r="F39" s="3">
        <v>62000</v>
      </c>
      <c r="G39" s="3">
        <v>310000</v>
      </c>
      <c r="H39" s="3" t="s">
        <v>11</v>
      </c>
    </row>
    <row r="40" spans="1:8" ht="22.5" customHeight="1" x14ac:dyDescent="0.25">
      <c r="A40" s="3" t="s">
        <v>58</v>
      </c>
      <c r="B40" s="4">
        <v>46070</v>
      </c>
      <c r="C40" s="3" t="s">
        <v>28</v>
      </c>
      <c r="D40" s="3" t="s">
        <v>10</v>
      </c>
      <c r="E40" s="3">
        <v>1</v>
      </c>
      <c r="F40" s="3">
        <v>4200</v>
      </c>
      <c r="G40" s="3">
        <v>4200</v>
      </c>
      <c r="H40" s="3" t="s">
        <v>14</v>
      </c>
    </row>
    <row r="41" spans="1:8" ht="22.5" customHeight="1" x14ac:dyDescent="0.25">
      <c r="A41" s="3" t="s">
        <v>59</v>
      </c>
      <c r="B41" s="4">
        <v>46114</v>
      </c>
      <c r="C41" s="3" t="s">
        <v>9</v>
      </c>
      <c r="D41" s="3" t="s">
        <v>10</v>
      </c>
      <c r="E41" s="3">
        <v>1</v>
      </c>
      <c r="F41" s="3">
        <v>12500</v>
      </c>
      <c r="G41" s="3">
        <v>12500</v>
      </c>
      <c r="H41" s="3" t="s">
        <v>17</v>
      </c>
    </row>
    <row r="42" spans="1:8" ht="22.5" customHeight="1" x14ac:dyDescent="0.25">
      <c r="A42" s="3" t="s">
        <v>60</v>
      </c>
      <c r="B42" s="4">
        <v>46281</v>
      </c>
      <c r="C42" s="3" t="s">
        <v>28</v>
      </c>
      <c r="D42" s="3" t="s">
        <v>10</v>
      </c>
      <c r="E42" s="3">
        <v>1</v>
      </c>
      <c r="F42" s="3">
        <v>4200</v>
      </c>
      <c r="G42" s="3">
        <v>4200</v>
      </c>
      <c r="H42" s="3" t="s">
        <v>16</v>
      </c>
    </row>
    <row r="43" spans="1:8" ht="22.5" customHeight="1" x14ac:dyDescent="0.25">
      <c r="A43" s="3" t="s">
        <v>61</v>
      </c>
      <c r="B43" s="4">
        <v>46254</v>
      </c>
      <c r="C43" s="3" t="s">
        <v>9</v>
      </c>
      <c r="D43" s="3" t="s">
        <v>10</v>
      </c>
      <c r="E43" s="3">
        <v>2</v>
      </c>
      <c r="F43" s="3">
        <v>12500</v>
      </c>
      <c r="G43" s="3">
        <v>25000</v>
      </c>
      <c r="H43" s="3" t="s">
        <v>14</v>
      </c>
    </row>
    <row r="44" spans="1:8" ht="22.5" customHeight="1" x14ac:dyDescent="0.25">
      <c r="A44" s="3" t="s">
        <v>62</v>
      </c>
      <c r="B44" s="4">
        <v>46027</v>
      </c>
      <c r="C44" s="3" t="s">
        <v>15</v>
      </c>
      <c r="D44" s="3" t="s">
        <v>10</v>
      </c>
      <c r="E44" s="3">
        <v>1</v>
      </c>
      <c r="F44" s="3">
        <v>8500</v>
      </c>
      <c r="G44" s="3">
        <v>8500</v>
      </c>
      <c r="H44" s="3" t="s">
        <v>17</v>
      </c>
    </row>
    <row r="45" spans="1:8" ht="22.5" customHeight="1" x14ac:dyDescent="0.25">
      <c r="A45" s="3" t="s">
        <v>63</v>
      </c>
      <c r="B45" s="4">
        <v>46131</v>
      </c>
      <c r="C45" s="3" t="s">
        <v>15</v>
      </c>
      <c r="D45" s="3" t="s">
        <v>10</v>
      </c>
      <c r="E45" s="3">
        <v>3</v>
      </c>
      <c r="F45" s="3">
        <v>8500</v>
      </c>
      <c r="G45" s="3">
        <v>25500</v>
      </c>
      <c r="H45" s="3" t="s">
        <v>14</v>
      </c>
    </row>
    <row r="46" spans="1:8" ht="22.5" customHeight="1" x14ac:dyDescent="0.25">
      <c r="A46" s="3" t="s">
        <v>64</v>
      </c>
      <c r="B46" s="4">
        <v>46030</v>
      </c>
      <c r="C46" s="3" t="s">
        <v>15</v>
      </c>
      <c r="D46" s="3" t="s">
        <v>10</v>
      </c>
      <c r="E46" s="3">
        <v>1</v>
      </c>
      <c r="F46" s="3">
        <v>8500</v>
      </c>
      <c r="G46" s="3">
        <v>8500</v>
      </c>
      <c r="H46" s="3" t="s">
        <v>14</v>
      </c>
    </row>
    <row r="47" spans="1:8" ht="22.5" customHeight="1" x14ac:dyDescent="0.25">
      <c r="A47" s="3" t="s">
        <v>65</v>
      </c>
      <c r="B47" s="4">
        <v>46177</v>
      </c>
      <c r="C47" s="3" t="s">
        <v>20</v>
      </c>
      <c r="D47" s="3" t="s">
        <v>21</v>
      </c>
      <c r="E47" s="3">
        <v>2</v>
      </c>
      <c r="F47" s="3">
        <v>185000</v>
      </c>
      <c r="G47" s="3">
        <v>370000</v>
      </c>
      <c r="H47" s="3" t="s">
        <v>16</v>
      </c>
    </row>
    <row r="48" spans="1:8" ht="22.5" customHeight="1" x14ac:dyDescent="0.25">
      <c r="A48" s="3" t="s">
        <v>66</v>
      </c>
      <c r="B48" s="4">
        <v>46036</v>
      </c>
      <c r="C48" s="3" t="s">
        <v>20</v>
      </c>
      <c r="D48" s="3" t="s">
        <v>21</v>
      </c>
      <c r="E48" s="3">
        <v>3</v>
      </c>
      <c r="F48" s="3">
        <v>185000</v>
      </c>
      <c r="G48" s="3">
        <v>555000</v>
      </c>
      <c r="H48" s="3" t="s">
        <v>17</v>
      </c>
    </row>
    <row r="49" spans="1:8" ht="22.5" customHeight="1" x14ac:dyDescent="0.25">
      <c r="A49" s="3" t="s">
        <v>67</v>
      </c>
      <c r="B49" s="4">
        <v>46136</v>
      </c>
      <c r="C49" s="3" t="s">
        <v>9</v>
      </c>
      <c r="D49" s="3" t="s">
        <v>10</v>
      </c>
      <c r="E49" s="3">
        <v>3</v>
      </c>
      <c r="F49" s="3">
        <v>12500</v>
      </c>
      <c r="G49" s="3">
        <v>37500</v>
      </c>
      <c r="H49" s="3" t="s">
        <v>14</v>
      </c>
    </row>
    <row r="50" spans="1:8" ht="22.5" customHeight="1" x14ac:dyDescent="0.25">
      <c r="A50" s="3" t="s">
        <v>68</v>
      </c>
      <c r="B50" s="4">
        <v>46242</v>
      </c>
      <c r="C50" s="3" t="s">
        <v>28</v>
      </c>
      <c r="D50" s="3" t="s">
        <v>10</v>
      </c>
      <c r="E50" s="3">
        <v>3</v>
      </c>
      <c r="F50" s="3">
        <v>4200</v>
      </c>
      <c r="G50" s="3">
        <v>12600</v>
      </c>
      <c r="H50" s="3" t="s">
        <v>14</v>
      </c>
    </row>
    <row r="51" spans="1:8" ht="22.5" customHeight="1" x14ac:dyDescent="0.25">
      <c r="A51" s="3" t="s">
        <v>69</v>
      </c>
      <c r="B51" s="4">
        <v>46119</v>
      </c>
      <c r="C51" s="3" t="s">
        <v>25</v>
      </c>
      <c r="D51" s="3" t="s">
        <v>10</v>
      </c>
      <c r="E51" s="3">
        <v>2</v>
      </c>
      <c r="F51" s="3">
        <v>9800</v>
      </c>
      <c r="G51" s="3">
        <v>19600</v>
      </c>
      <c r="H51" s="3" t="s">
        <v>11</v>
      </c>
    </row>
    <row r="52" spans="1:8" ht="22.5" customHeight="1" x14ac:dyDescent="0.25">
      <c r="A52" s="3" t="s">
        <v>71</v>
      </c>
      <c r="B52" s="4">
        <v>46236</v>
      </c>
      <c r="C52" s="3" t="s">
        <v>15</v>
      </c>
      <c r="D52" s="3" t="s">
        <v>10</v>
      </c>
      <c r="E52" s="3">
        <v>1</v>
      </c>
      <c r="F52" s="3">
        <v>8500</v>
      </c>
      <c r="G52" s="3">
        <v>8500</v>
      </c>
      <c r="H52" s="3" t="s">
        <v>17</v>
      </c>
    </row>
    <row r="53" spans="1:8" ht="22.5" customHeight="1" x14ac:dyDescent="0.25">
      <c r="A53" s="3" t="s">
        <v>75</v>
      </c>
      <c r="B53" s="4">
        <v>46196</v>
      </c>
      <c r="C53" s="3" t="s">
        <v>20</v>
      </c>
      <c r="D53" s="3" t="s">
        <v>21</v>
      </c>
      <c r="E53" s="3">
        <v>2</v>
      </c>
      <c r="F53" s="3">
        <v>185000</v>
      </c>
      <c r="G53" s="3">
        <v>370000</v>
      </c>
      <c r="H53" s="3" t="s">
        <v>14</v>
      </c>
    </row>
    <row r="54" spans="1:8" ht="22.5" customHeight="1" x14ac:dyDescent="0.25">
      <c r="A54" s="3" t="s">
        <v>77</v>
      </c>
      <c r="B54" s="4">
        <v>46040</v>
      </c>
      <c r="C54" s="3" t="s">
        <v>25</v>
      </c>
      <c r="D54" s="3" t="s">
        <v>10</v>
      </c>
      <c r="E54" s="3">
        <v>3</v>
      </c>
      <c r="F54" s="3">
        <v>9800</v>
      </c>
      <c r="G54" s="3">
        <v>29400</v>
      </c>
      <c r="H54" s="3" t="s">
        <v>11</v>
      </c>
    </row>
    <row r="55" spans="1:8" ht="22.5" customHeight="1" x14ac:dyDescent="0.25">
      <c r="A55" s="3" t="s">
        <v>78</v>
      </c>
      <c r="B55" s="4">
        <v>46194</v>
      </c>
      <c r="C55" s="3" t="s">
        <v>15</v>
      </c>
      <c r="D55" s="3" t="s">
        <v>10</v>
      </c>
      <c r="E55" s="3">
        <v>1</v>
      </c>
      <c r="F55" s="3">
        <v>8500</v>
      </c>
      <c r="G55" s="3">
        <v>8500</v>
      </c>
      <c r="H55" s="3" t="s">
        <v>16</v>
      </c>
    </row>
    <row r="56" spans="1:8" ht="22.5" customHeight="1" x14ac:dyDescent="0.25">
      <c r="A56" s="3" t="s">
        <v>79</v>
      </c>
      <c r="B56" s="4">
        <v>46276</v>
      </c>
      <c r="C56" s="3" t="s">
        <v>9</v>
      </c>
      <c r="D56" s="3" t="s">
        <v>10</v>
      </c>
      <c r="E56" s="3">
        <v>3</v>
      </c>
      <c r="F56" s="3">
        <v>12500</v>
      </c>
      <c r="G56" s="3">
        <v>37500</v>
      </c>
      <c r="H56" s="3" t="s">
        <v>11</v>
      </c>
    </row>
    <row r="57" spans="1:8" ht="22.5" customHeight="1" x14ac:dyDescent="0.25">
      <c r="A57" s="3" t="s">
        <v>80</v>
      </c>
      <c r="B57" s="4">
        <v>46150</v>
      </c>
      <c r="C57" s="3" t="s">
        <v>28</v>
      </c>
      <c r="D57" s="3" t="s">
        <v>10</v>
      </c>
      <c r="E57" s="3">
        <v>1</v>
      </c>
      <c r="F57" s="3">
        <v>4200</v>
      </c>
      <c r="G57" s="3">
        <v>4200</v>
      </c>
      <c r="H57" s="3" t="s">
        <v>14</v>
      </c>
    </row>
    <row r="58" spans="1:8" ht="22.5" customHeight="1" x14ac:dyDescent="0.25">
      <c r="A58" s="3" t="s">
        <v>81</v>
      </c>
      <c r="B58" s="4">
        <v>46125</v>
      </c>
      <c r="C58" s="3" t="s">
        <v>25</v>
      </c>
      <c r="D58" s="3" t="s">
        <v>10</v>
      </c>
      <c r="E58" s="3">
        <v>1</v>
      </c>
      <c r="F58" s="3">
        <v>9800</v>
      </c>
      <c r="G58" s="3">
        <v>9800</v>
      </c>
      <c r="H58" s="3" t="s">
        <v>17</v>
      </c>
    </row>
    <row r="59" spans="1:8" ht="22.5" customHeight="1" x14ac:dyDescent="0.25">
      <c r="A59" s="3" t="s">
        <v>82</v>
      </c>
      <c r="B59" s="4">
        <v>46281</v>
      </c>
      <c r="C59" s="3" t="s">
        <v>15</v>
      </c>
      <c r="D59" s="3" t="s">
        <v>10</v>
      </c>
      <c r="E59" s="3">
        <v>1</v>
      </c>
      <c r="F59" s="3">
        <v>8500</v>
      </c>
      <c r="G59" s="3">
        <v>8500</v>
      </c>
      <c r="H59" s="3" t="s">
        <v>16</v>
      </c>
    </row>
    <row r="60" spans="1:8" ht="22.5" customHeight="1" x14ac:dyDescent="0.25">
      <c r="A60" s="3" t="s">
        <v>83</v>
      </c>
      <c r="B60" s="4">
        <v>46247</v>
      </c>
      <c r="C60" s="3" t="s">
        <v>15</v>
      </c>
      <c r="D60" s="3" t="s">
        <v>10</v>
      </c>
      <c r="E60" s="3">
        <v>1</v>
      </c>
      <c r="F60" s="3">
        <v>8500</v>
      </c>
      <c r="G60" s="3">
        <v>8500</v>
      </c>
      <c r="H60" s="3" t="s">
        <v>17</v>
      </c>
    </row>
    <row r="61" spans="1:8" ht="22.5" customHeight="1" x14ac:dyDescent="0.25">
      <c r="A61" s="3" t="s">
        <v>84</v>
      </c>
      <c r="B61" s="4">
        <v>46101</v>
      </c>
      <c r="C61" s="3" t="s">
        <v>9</v>
      </c>
      <c r="D61" s="3" t="s">
        <v>10</v>
      </c>
      <c r="E61" s="3">
        <v>2</v>
      </c>
      <c r="F61" s="3">
        <v>12500</v>
      </c>
      <c r="G61" s="3">
        <v>25000</v>
      </c>
      <c r="H61" s="3" t="s">
        <v>16</v>
      </c>
    </row>
    <row r="62" spans="1:8" ht="22.5" customHeight="1" x14ac:dyDescent="0.25">
      <c r="A62" s="3" t="s">
        <v>85</v>
      </c>
      <c r="B62" s="4">
        <v>46185</v>
      </c>
      <c r="C62" s="3" t="s">
        <v>37</v>
      </c>
      <c r="D62" s="3" t="s">
        <v>21</v>
      </c>
      <c r="E62" s="3">
        <v>2</v>
      </c>
      <c r="F62" s="3">
        <v>62000</v>
      </c>
      <c r="G62" s="3">
        <v>124000</v>
      </c>
      <c r="H62" s="3" t="s">
        <v>17</v>
      </c>
    </row>
    <row r="63" spans="1:8" ht="22.5" customHeight="1" x14ac:dyDescent="0.25">
      <c r="A63" s="3" t="s">
        <v>86</v>
      </c>
      <c r="B63" s="4">
        <v>46231</v>
      </c>
      <c r="C63" s="3" t="s">
        <v>15</v>
      </c>
      <c r="D63" s="3" t="s">
        <v>10</v>
      </c>
      <c r="E63" s="3">
        <v>5</v>
      </c>
      <c r="F63" s="3">
        <v>8500</v>
      </c>
      <c r="G63" s="3">
        <v>42500</v>
      </c>
      <c r="H63" s="3" t="s">
        <v>14</v>
      </c>
    </row>
    <row r="64" spans="1:8" ht="22.5" customHeight="1" x14ac:dyDescent="0.25">
      <c r="A64" s="3" t="s">
        <v>87</v>
      </c>
      <c r="B64" s="4">
        <v>46100</v>
      </c>
      <c r="C64" s="3" t="s">
        <v>9</v>
      </c>
      <c r="D64" s="3" t="s">
        <v>10</v>
      </c>
      <c r="E64" s="3">
        <v>1</v>
      </c>
      <c r="F64" s="3">
        <v>12500</v>
      </c>
      <c r="G64" s="3">
        <v>12500</v>
      </c>
      <c r="H64" s="3" t="s">
        <v>16</v>
      </c>
    </row>
    <row r="65" spans="1:8" ht="22.5" customHeight="1" x14ac:dyDescent="0.25">
      <c r="A65" s="3" t="s">
        <v>88</v>
      </c>
      <c r="B65" s="4">
        <v>46249</v>
      </c>
      <c r="C65" s="3" t="s">
        <v>28</v>
      </c>
      <c r="D65" s="3" t="s">
        <v>10</v>
      </c>
      <c r="E65" s="3">
        <v>2</v>
      </c>
      <c r="F65" s="3">
        <v>4200</v>
      </c>
      <c r="G65" s="3">
        <v>8400</v>
      </c>
      <c r="H65" s="3" t="s">
        <v>16</v>
      </c>
    </row>
    <row r="66" spans="1:8" ht="22.5" customHeight="1" x14ac:dyDescent="0.25">
      <c r="A66" s="3" t="s">
        <v>89</v>
      </c>
      <c r="B66" s="4">
        <v>46276</v>
      </c>
      <c r="C66" s="3" t="s">
        <v>15</v>
      </c>
      <c r="D66" s="3" t="s">
        <v>10</v>
      </c>
      <c r="E66" s="3">
        <v>4</v>
      </c>
      <c r="F66" s="3">
        <v>8500</v>
      </c>
      <c r="G66" s="3">
        <v>34000</v>
      </c>
      <c r="H66" s="3" t="s">
        <v>11</v>
      </c>
    </row>
    <row r="67" spans="1:8" ht="22.5" customHeight="1" x14ac:dyDescent="0.25">
      <c r="A67" s="3" t="s">
        <v>90</v>
      </c>
      <c r="B67" s="4">
        <v>46026</v>
      </c>
      <c r="C67" s="3" t="s">
        <v>9</v>
      </c>
      <c r="D67" s="3" t="s">
        <v>10</v>
      </c>
      <c r="E67" s="3">
        <v>1</v>
      </c>
      <c r="F67" s="3">
        <v>12500</v>
      </c>
      <c r="G67" s="3">
        <v>12500</v>
      </c>
      <c r="H67" s="3" t="s">
        <v>14</v>
      </c>
    </row>
    <row r="68" spans="1:8" ht="22.5" customHeight="1" x14ac:dyDescent="0.25">
      <c r="A68" s="3" t="s">
        <v>91</v>
      </c>
      <c r="B68" s="4">
        <v>46243</v>
      </c>
      <c r="C68" s="3" t="s">
        <v>15</v>
      </c>
      <c r="D68" s="3" t="s">
        <v>10</v>
      </c>
      <c r="E68" s="3">
        <v>2</v>
      </c>
      <c r="F68" s="3">
        <v>8500</v>
      </c>
      <c r="G68" s="3">
        <v>17000</v>
      </c>
      <c r="H68" s="3" t="s">
        <v>14</v>
      </c>
    </row>
    <row r="69" spans="1:8" ht="22.5" customHeight="1" x14ac:dyDescent="0.25">
      <c r="A69" s="3" t="s">
        <v>92</v>
      </c>
      <c r="B69" s="4">
        <v>46110</v>
      </c>
      <c r="C69" s="3" t="s">
        <v>9</v>
      </c>
      <c r="D69" s="3" t="s">
        <v>10</v>
      </c>
      <c r="E69" s="3">
        <v>1</v>
      </c>
      <c r="F69" s="3">
        <v>12500</v>
      </c>
      <c r="G69" s="3">
        <v>12500</v>
      </c>
      <c r="H69" s="3" t="s">
        <v>14</v>
      </c>
    </row>
    <row r="70" spans="1:8" ht="22.5" customHeight="1" x14ac:dyDescent="0.25">
      <c r="A70" s="3" t="s">
        <v>94</v>
      </c>
      <c r="B70" s="4">
        <v>46196</v>
      </c>
      <c r="C70" s="3" t="s">
        <v>15</v>
      </c>
      <c r="D70" s="3" t="s">
        <v>10</v>
      </c>
      <c r="E70" s="3">
        <v>1</v>
      </c>
      <c r="F70" s="3">
        <v>8500</v>
      </c>
      <c r="G70" s="3">
        <v>8500</v>
      </c>
      <c r="H70" s="3" t="s">
        <v>17</v>
      </c>
    </row>
    <row r="71" spans="1:8" ht="22.5" customHeight="1" x14ac:dyDescent="0.25">
      <c r="A71" s="3" t="s">
        <v>97</v>
      </c>
      <c r="B71" s="4">
        <v>46099</v>
      </c>
      <c r="C71" s="3" t="s">
        <v>15</v>
      </c>
      <c r="D71" s="3" t="s">
        <v>10</v>
      </c>
      <c r="E71" s="3">
        <v>1</v>
      </c>
      <c r="F71" s="3">
        <v>8500</v>
      </c>
      <c r="G71" s="3">
        <v>8500</v>
      </c>
      <c r="H71" s="3" t="s">
        <v>11</v>
      </c>
    </row>
    <row r="72" spans="1:8" ht="22.5" customHeight="1" x14ac:dyDescent="0.25">
      <c r="A72" s="3" t="s">
        <v>98</v>
      </c>
      <c r="B72" s="4">
        <v>46189</v>
      </c>
      <c r="C72" s="3" t="s">
        <v>15</v>
      </c>
      <c r="D72" s="3" t="s">
        <v>10</v>
      </c>
      <c r="E72" s="3">
        <v>1</v>
      </c>
      <c r="F72" s="3">
        <v>8500</v>
      </c>
      <c r="G72" s="3">
        <v>8500</v>
      </c>
      <c r="H72" s="3" t="s">
        <v>16</v>
      </c>
    </row>
    <row r="73" spans="1:8" ht="22.5" customHeight="1" x14ac:dyDescent="0.25">
      <c r="A73" s="3" t="s">
        <v>100</v>
      </c>
      <c r="B73" s="4">
        <v>46154</v>
      </c>
      <c r="C73" s="3" t="s">
        <v>28</v>
      </c>
      <c r="D73" s="3" t="s">
        <v>10</v>
      </c>
      <c r="E73" s="3">
        <v>1</v>
      </c>
      <c r="F73" s="3">
        <v>4200</v>
      </c>
      <c r="G73" s="3">
        <v>4200</v>
      </c>
      <c r="H73" s="3" t="s">
        <v>16</v>
      </c>
    </row>
    <row r="74" spans="1:8" ht="22.5" customHeight="1" x14ac:dyDescent="0.25">
      <c r="A74" s="3" t="s">
        <v>102</v>
      </c>
      <c r="B74" s="4">
        <v>46212</v>
      </c>
      <c r="C74" s="3" t="s">
        <v>37</v>
      </c>
      <c r="D74" s="3" t="s">
        <v>21</v>
      </c>
      <c r="E74" s="3">
        <v>1</v>
      </c>
      <c r="F74" s="3">
        <v>62000</v>
      </c>
      <c r="G74" s="3">
        <v>62000</v>
      </c>
      <c r="H74" s="3" t="s">
        <v>17</v>
      </c>
    </row>
    <row r="75" spans="1:8" ht="22.5" customHeight="1" x14ac:dyDescent="0.25">
      <c r="A75" s="3" t="s">
        <v>103</v>
      </c>
      <c r="B75" s="4">
        <v>46063</v>
      </c>
      <c r="C75" s="3" t="s">
        <v>28</v>
      </c>
      <c r="D75" s="3" t="s">
        <v>10</v>
      </c>
      <c r="E75" s="3">
        <v>1</v>
      </c>
      <c r="F75" s="3">
        <v>4200</v>
      </c>
      <c r="G75" s="3">
        <v>4200</v>
      </c>
      <c r="H75" s="3" t="s">
        <v>11</v>
      </c>
    </row>
    <row r="76" spans="1:8" ht="22.5" customHeight="1" x14ac:dyDescent="0.25">
      <c r="A76" s="3" t="s">
        <v>105</v>
      </c>
      <c r="B76" s="4">
        <v>46127</v>
      </c>
      <c r="C76" s="3" t="s">
        <v>28</v>
      </c>
      <c r="D76" s="3" t="s">
        <v>10</v>
      </c>
      <c r="E76" s="3">
        <v>5</v>
      </c>
      <c r="F76" s="3">
        <v>4200</v>
      </c>
      <c r="G76" s="3">
        <v>21000</v>
      </c>
      <c r="H76" s="3" t="s">
        <v>11</v>
      </c>
    </row>
    <row r="77" spans="1:8" ht="22.5" customHeight="1" x14ac:dyDescent="0.25">
      <c r="A77" s="3" t="s">
        <v>107</v>
      </c>
      <c r="B77" s="4">
        <v>46053</v>
      </c>
      <c r="C77" s="3" t="s">
        <v>20</v>
      </c>
      <c r="D77" s="3" t="s">
        <v>21</v>
      </c>
      <c r="E77" s="3">
        <v>1</v>
      </c>
      <c r="F77" s="3">
        <v>185000</v>
      </c>
      <c r="G77" s="3">
        <v>185000</v>
      </c>
      <c r="H77" s="3" t="s">
        <v>11</v>
      </c>
    </row>
    <row r="78" spans="1:8" ht="22.5" customHeight="1" x14ac:dyDescent="0.25">
      <c r="A78" s="3" t="s">
        <v>108</v>
      </c>
      <c r="B78" s="4">
        <v>46229</v>
      </c>
      <c r="C78" s="3" t="s">
        <v>25</v>
      </c>
      <c r="D78" s="3" t="s">
        <v>10</v>
      </c>
      <c r="E78" s="3">
        <v>2</v>
      </c>
      <c r="F78" s="3">
        <v>9800</v>
      </c>
      <c r="G78" s="3">
        <v>19600</v>
      </c>
      <c r="H78" s="3" t="s">
        <v>17</v>
      </c>
    </row>
    <row r="79" spans="1:8" ht="22.5" customHeight="1" x14ac:dyDescent="0.25">
      <c r="A79" s="3" t="s">
        <v>109</v>
      </c>
      <c r="B79" s="4">
        <v>46177</v>
      </c>
      <c r="C79" s="3" t="s">
        <v>9</v>
      </c>
      <c r="D79" s="3" t="s">
        <v>10</v>
      </c>
      <c r="E79" s="3">
        <v>1</v>
      </c>
      <c r="F79" s="3">
        <v>12500</v>
      </c>
      <c r="G79" s="3">
        <v>12500</v>
      </c>
      <c r="H79" s="3" t="s">
        <v>17</v>
      </c>
    </row>
    <row r="80" spans="1:8" ht="22.5" customHeight="1" x14ac:dyDescent="0.25">
      <c r="A80" s="3" t="s">
        <v>110</v>
      </c>
      <c r="B80" s="4">
        <v>46132</v>
      </c>
      <c r="C80" s="3" t="s">
        <v>37</v>
      </c>
      <c r="D80" s="3" t="s">
        <v>21</v>
      </c>
      <c r="E80" s="3">
        <v>3</v>
      </c>
      <c r="F80" s="3">
        <v>62000</v>
      </c>
      <c r="G80" s="3">
        <v>186000</v>
      </c>
      <c r="H80" s="3" t="s">
        <v>16</v>
      </c>
    </row>
    <row r="81" spans="1:8" ht="22.5" customHeight="1" x14ac:dyDescent="0.25">
      <c r="A81" s="3" t="s">
        <v>111</v>
      </c>
      <c r="B81" s="4">
        <v>46123</v>
      </c>
      <c r="C81" s="3" t="s">
        <v>37</v>
      </c>
      <c r="D81" s="3" t="s">
        <v>21</v>
      </c>
      <c r="E81" s="3">
        <v>3</v>
      </c>
      <c r="F81" s="3">
        <v>62000</v>
      </c>
      <c r="G81" s="3">
        <v>186000</v>
      </c>
      <c r="H81" s="3" t="s">
        <v>16</v>
      </c>
    </row>
    <row r="82" spans="1:8" ht="22.5" customHeight="1" x14ac:dyDescent="0.25">
      <c r="A82" s="3" t="s">
        <v>112</v>
      </c>
      <c r="B82" s="4">
        <v>46059</v>
      </c>
      <c r="C82" s="3" t="s">
        <v>25</v>
      </c>
      <c r="D82" s="3" t="s">
        <v>10</v>
      </c>
      <c r="E82" s="3">
        <v>3</v>
      </c>
      <c r="F82" s="3">
        <v>9800</v>
      </c>
      <c r="G82" s="3">
        <v>29400</v>
      </c>
      <c r="H82" s="3" t="s">
        <v>17</v>
      </c>
    </row>
    <row r="83" spans="1:8" ht="22.5" customHeight="1" x14ac:dyDescent="0.25">
      <c r="A83" s="3" t="s">
        <v>113</v>
      </c>
      <c r="B83" s="4">
        <v>46279</v>
      </c>
      <c r="C83" s="3" t="s">
        <v>25</v>
      </c>
      <c r="D83" s="3" t="s">
        <v>10</v>
      </c>
      <c r="E83" s="3">
        <v>1</v>
      </c>
      <c r="F83" s="3">
        <v>9800</v>
      </c>
      <c r="G83" s="3">
        <v>9800</v>
      </c>
      <c r="H83" s="3" t="s">
        <v>16</v>
      </c>
    </row>
    <row r="84" spans="1:8" ht="22.5" customHeight="1" x14ac:dyDescent="0.25">
      <c r="A84" s="3" t="s">
        <v>114</v>
      </c>
      <c r="B84" s="4">
        <v>46249</v>
      </c>
      <c r="C84" s="3" t="s">
        <v>9</v>
      </c>
      <c r="D84" s="3" t="s">
        <v>10</v>
      </c>
      <c r="E84" s="3">
        <v>2</v>
      </c>
      <c r="F84" s="3">
        <v>12500</v>
      </c>
      <c r="G84" s="3">
        <v>25000</v>
      </c>
      <c r="H84" s="3" t="s">
        <v>14</v>
      </c>
    </row>
    <row r="85" spans="1:8" ht="22.5" customHeight="1" x14ac:dyDescent="0.25">
      <c r="A85" s="3" t="s">
        <v>115</v>
      </c>
      <c r="B85" s="4">
        <v>46246</v>
      </c>
      <c r="C85" s="3" t="s">
        <v>37</v>
      </c>
      <c r="D85" s="3" t="s">
        <v>21</v>
      </c>
      <c r="E85" s="3">
        <v>1</v>
      </c>
      <c r="F85" s="3">
        <v>62000</v>
      </c>
      <c r="G85" s="3">
        <v>62000</v>
      </c>
      <c r="H85" s="3" t="s">
        <v>17</v>
      </c>
    </row>
    <row r="86" spans="1:8" ht="22.5" customHeight="1" x14ac:dyDescent="0.25">
      <c r="A86" s="3" t="s">
        <v>116</v>
      </c>
      <c r="B86" s="4">
        <v>46216</v>
      </c>
      <c r="C86" s="3" t="s">
        <v>37</v>
      </c>
      <c r="D86" s="3" t="s">
        <v>21</v>
      </c>
      <c r="E86" s="3">
        <v>2</v>
      </c>
      <c r="F86" s="3">
        <v>62000</v>
      </c>
      <c r="G86" s="3">
        <v>124000</v>
      </c>
      <c r="H86" s="3" t="s">
        <v>17</v>
      </c>
    </row>
    <row r="87" spans="1:8" ht="22.5" customHeight="1" x14ac:dyDescent="0.25">
      <c r="A87" s="3" t="s">
        <v>117</v>
      </c>
      <c r="B87" s="4">
        <v>46145</v>
      </c>
      <c r="C87" s="3" t="s">
        <v>15</v>
      </c>
      <c r="D87" s="3" t="s">
        <v>10</v>
      </c>
      <c r="E87" s="3">
        <v>3</v>
      </c>
      <c r="F87" s="3">
        <v>8500</v>
      </c>
      <c r="G87" s="3">
        <v>25500</v>
      </c>
      <c r="H87" s="3" t="s">
        <v>11</v>
      </c>
    </row>
    <row r="88" spans="1:8" ht="22.5" customHeight="1" x14ac:dyDescent="0.25">
      <c r="A88" s="3" t="s">
        <v>118</v>
      </c>
      <c r="B88" s="4">
        <v>46111</v>
      </c>
      <c r="C88" s="3" t="s">
        <v>28</v>
      </c>
      <c r="D88" s="3" t="s">
        <v>10</v>
      </c>
      <c r="E88" s="3">
        <v>4</v>
      </c>
      <c r="F88" s="3">
        <v>4200</v>
      </c>
      <c r="G88" s="3">
        <v>16800</v>
      </c>
      <c r="H88" s="3" t="s">
        <v>17</v>
      </c>
    </row>
    <row r="89" spans="1:8" ht="22.5" customHeight="1" x14ac:dyDescent="0.25">
      <c r="A89" s="3" t="s">
        <v>119</v>
      </c>
      <c r="B89" s="4">
        <v>46231</v>
      </c>
      <c r="C89" s="3" t="s">
        <v>20</v>
      </c>
      <c r="D89" s="3" t="s">
        <v>21</v>
      </c>
      <c r="E89" s="3">
        <v>2</v>
      </c>
      <c r="F89" s="3">
        <v>185000</v>
      </c>
      <c r="G89" s="3">
        <v>370000</v>
      </c>
      <c r="H89" s="3" t="s">
        <v>17</v>
      </c>
    </row>
    <row r="90" spans="1:8" ht="22.5" customHeight="1" x14ac:dyDescent="0.25">
      <c r="A90" s="3" t="s">
        <v>120</v>
      </c>
      <c r="B90" s="4">
        <v>46117</v>
      </c>
      <c r="C90" s="3" t="s">
        <v>20</v>
      </c>
      <c r="D90" s="3" t="s">
        <v>21</v>
      </c>
      <c r="E90" s="3">
        <v>5</v>
      </c>
      <c r="F90" s="3">
        <v>185000</v>
      </c>
      <c r="G90" s="3">
        <v>925000</v>
      </c>
      <c r="H90" s="3" t="s">
        <v>17</v>
      </c>
    </row>
    <row r="91" spans="1:8" ht="22.5" customHeight="1" x14ac:dyDescent="0.25">
      <c r="A91" s="3" t="s">
        <v>121</v>
      </c>
      <c r="B91" s="4">
        <v>46089</v>
      </c>
      <c r="C91" s="3" t="s">
        <v>20</v>
      </c>
      <c r="D91" s="3" t="s">
        <v>21</v>
      </c>
      <c r="E91" s="3">
        <v>1</v>
      </c>
      <c r="F91" s="3">
        <v>185000</v>
      </c>
      <c r="G91" s="3">
        <v>185000</v>
      </c>
      <c r="H91" s="3" t="s">
        <v>16</v>
      </c>
    </row>
    <row r="92" spans="1:8" ht="22.5" customHeight="1" x14ac:dyDescent="0.25">
      <c r="A92" s="3" t="s">
        <v>122</v>
      </c>
      <c r="B92" s="4">
        <v>46041</v>
      </c>
      <c r="C92" s="3" t="s">
        <v>37</v>
      </c>
      <c r="D92" s="3" t="s">
        <v>21</v>
      </c>
      <c r="E92" s="3">
        <v>1</v>
      </c>
      <c r="F92" s="3">
        <v>62000</v>
      </c>
      <c r="G92" s="3">
        <v>62000</v>
      </c>
      <c r="H92" s="3" t="s">
        <v>14</v>
      </c>
    </row>
    <row r="93" spans="1:8" ht="22.5" customHeight="1" x14ac:dyDescent="0.25">
      <c r="A93" s="3" t="s">
        <v>123</v>
      </c>
      <c r="B93" s="4">
        <v>46067</v>
      </c>
      <c r="C93" s="3" t="s">
        <v>15</v>
      </c>
      <c r="D93" s="3" t="s">
        <v>10</v>
      </c>
      <c r="E93" s="3">
        <v>1</v>
      </c>
      <c r="F93" s="3">
        <v>8500</v>
      </c>
      <c r="G93" s="3">
        <v>8500</v>
      </c>
      <c r="H93" s="3" t="s">
        <v>11</v>
      </c>
    </row>
    <row r="94" spans="1:8" ht="22.5" customHeight="1" x14ac:dyDescent="0.25">
      <c r="A94" s="3" t="s">
        <v>124</v>
      </c>
      <c r="B94" s="4">
        <v>46295</v>
      </c>
      <c r="C94" s="3" t="s">
        <v>9</v>
      </c>
      <c r="D94" s="3" t="s">
        <v>10</v>
      </c>
      <c r="E94" s="3">
        <v>2</v>
      </c>
      <c r="F94" s="3">
        <v>12500</v>
      </c>
      <c r="G94" s="3">
        <v>25000</v>
      </c>
      <c r="H94" s="3" t="s">
        <v>11</v>
      </c>
    </row>
    <row r="95" spans="1:8" ht="22.5" customHeight="1" x14ac:dyDescent="0.25">
      <c r="A95" s="3" t="s">
        <v>125</v>
      </c>
      <c r="B95" s="4">
        <v>46157</v>
      </c>
      <c r="C95" s="3" t="s">
        <v>25</v>
      </c>
      <c r="D95" s="3" t="s">
        <v>10</v>
      </c>
      <c r="E95" s="3">
        <v>1</v>
      </c>
      <c r="F95" s="3">
        <v>9800</v>
      </c>
      <c r="G95" s="3">
        <v>9800</v>
      </c>
      <c r="H95" s="3" t="s">
        <v>14</v>
      </c>
    </row>
    <row r="96" spans="1:8" ht="22.5" customHeight="1" x14ac:dyDescent="0.25">
      <c r="A96" s="3" t="s">
        <v>126</v>
      </c>
      <c r="B96" s="4">
        <v>46168</v>
      </c>
      <c r="C96" s="3" t="s">
        <v>25</v>
      </c>
      <c r="D96" s="3" t="s">
        <v>10</v>
      </c>
      <c r="E96" s="3">
        <v>1</v>
      </c>
      <c r="F96" s="3">
        <v>9800</v>
      </c>
      <c r="G96" s="3">
        <v>9800</v>
      </c>
      <c r="H96" s="3" t="s">
        <v>14</v>
      </c>
    </row>
    <row r="97" spans="1:8" ht="22.5" customHeight="1" x14ac:dyDescent="0.25">
      <c r="A97" s="3" t="s">
        <v>127</v>
      </c>
      <c r="B97" s="4">
        <v>46173</v>
      </c>
      <c r="C97" s="3" t="s">
        <v>25</v>
      </c>
      <c r="D97" s="3" t="s">
        <v>10</v>
      </c>
      <c r="E97" s="3">
        <v>1</v>
      </c>
      <c r="F97" s="3">
        <v>9800</v>
      </c>
      <c r="G97" s="3">
        <v>9800</v>
      </c>
      <c r="H97" s="3" t="s">
        <v>11</v>
      </c>
    </row>
    <row r="98" spans="1:8" ht="22.5" customHeight="1" x14ac:dyDescent="0.25">
      <c r="A98" s="3" t="s">
        <v>128</v>
      </c>
      <c r="B98" s="4">
        <v>46279</v>
      </c>
      <c r="C98" s="3" t="s">
        <v>28</v>
      </c>
      <c r="D98" s="3" t="s">
        <v>10</v>
      </c>
      <c r="E98" s="3">
        <v>5</v>
      </c>
      <c r="F98" s="3">
        <v>4200</v>
      </c>
      <c r="G98" s="3">
        <v>21000</v>
      </c>
      <c r="H98" s="3" t="s">
        <v>14</v>
      </c>
    </row>
    <row r="99" spans="1:8" ht="22.5" customHeight="1" x14ac:dyDescent="0.25">
      <c r="A99" s="3" t="s">
        <v>129</v>
      </c>
      <c r="B99" s="4">
        <v>46268</v>
      </c>
      <c r="C99" s="3" t="s">
        <v>20</v>
      </c>
      <c r="D99" s="3" t="s">
        <v>21</v>
      </c>
      <c r="E99" s="3">
        <v>1</v>
      </c>
      <c r="F99" s="3">
        <v>185000</v>
      </c>
      <c r="G99" s="3">
        <v>185000</v>
      </c>
      <c r="H99" s="3" t="s">
        <v>17</v>
      </c>
    </row>
    <row r="100" spans="1:8" ht="22.5" customHeight="1" x14ac:dyDescent="0.25">
      <c r="A100" s="3" t="s">
        <v>130</v>
      </c>
      <c r="B100" s="4">
        <v>46275</v>
      </c>
      <c r="C100" s="3" t="s">
        <v>15</v>
      </c>
      <c r="D100" s="3" t="s">
        <v>10</v>
      </c>
      <c r="E100" s="3">
        <v>3</v>
      </c>
      <c r="F100" s="3">
        <v>8500</v>
      </c>
      <c r="G100" s="3">
        <v>25500</v>
      </c>
      <c r="H100" s="3" t="s">
        <v>11</v>
      </c>
    </row>
    <row r="101" spans="1:8" ht="22.5" customHeight="1" x14ac:dyDescent="0.25">
      <c r="A101" s="3" t="s">
        <v>131</v>
      </c>
      <c r="B101" s="4">
        <v>46081</v>
      </c>
      <c r="C101" s="3" t="s">
        <v>37</v>
      </c>
      <c r="D101" s="3" t="s">
        <v>21</v>
      </c>
      <c r="E101" s="3">
        <v>1</v>
      </c>
      <c r="F101" s="3">
        <v>62000</v>
      </c>
      <c r="G101" s="3">
        <v>62000</v>
      </c>
      <c r="H101" s="3" t="s">
        <v>11</v>
      </c>
    </row>
    <row r="102" spans="1:8" ht="22.5" customHeight="1" x14ac:dyDescent="0.25">
      <c r="A102" s="3" t="s">
        <v>132</v>
      </c>
      <c r="B102" s="4">
        <v>46218</v>
      </c>
      <c r="C102" s="3" t="s">
        <v>9</v>
      </c>
      <c r="D102" s="3" t="s">
        <v>10</v>
      </c>
      <c r="E102" s="3">
        <v>3</v>
      </c>
      <c r="F102" s="3">
        <v>12500</v>
      </c>
      <c r="G102" s="3">
        <v>37500</v>
      </c>
      <c r="H102" s="3" t="s">
        <v>14</v>
      </c>
    </row>
    <row r="103" spans="1:8" ht="22.5" customHeight="1" x14ac:dyDescent="0.25">
      <c r="A103" s="3" t="s">
        <v>133</v>
      </c>
      <c r="B103" s="4">
        <v>46063</v>
      </c>
      <c r="C103" s="3" t="s">
        <v>9</v>
      </c>
      <c r="D103" s="3" t="s">
        <v>10</v>
      </c>
      <c r="E103" s="3">
        <v>2</v>
      </c>
      <c r="F103" s="3">
        <v>12500</v>
      </c>
      <c r="G103" s="3">
        <v>25000</v>
      </c>
      <c r="H103" s="3" t="s">
        <v>14</v>
      </c>
    </row>
  </sheetData>
  <mergeCells count="1">
    <mergeCell ref="A1:H1"/>
  </mergeCells>
  <dataValidations count="1">
    <dataValidation type="custom" allowBlank="1" showDropDown="1" sqref="B4:B103" xr:uid="{00000000-0002-0000-0000-000000000000}">
      <formula1>OR(NOT(ISERROR(DATEVALUE(B4))), AND(ISNUMBER(B4), LEFT(CELL("format", B4))="D"))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5"/>
  <sheetViews>
    <sheetView showGridLines="0" topLeftCell="A85" workbookViewId="0"/>
  </sheetViews>
  <sheetFormatPr defaultColWidth="12.6640625" defaultRowHeight="15.75" customHeight="1" x14ac:dyDescent="0.25"/>
  <cols>
    <col min="1" max="1" width="21" customWidth="1"/>
  </cols>
  <sheetData>
    <row r="1" spans="1:2" x14ac:dyDescent="0.25">
      <c r="A1" s="34" t="s">
        <v>1</v>
      </c>
      <c r="B1" s="35" t="s">
        <v>13</v>
      </c>
    </row>
    <row r="2" spans="1:2" x14ac:dyDescent="0.25">
      <c r="A2" s="42">
        <v>46026</v>
      </c>
      <c r="B2" s="36">
        <v>12500</v>
      </c>
    </row>
    <row r="3" spans="1:2" x14ac:dyDescent="0.25">
      <c r="A3" s="43">
        <v>46027</v>
      </c>
      <c r="B3" s="37">
        <v>8500</v>
      </c>
    </row>
    <row r="4" spans="1:2" x14ac:dyDescent="0.25">
      <c r="A4" s="43">
        <v>46030</v>
      </c>
      <c r="B4" s="37">
        <v>8500</v>
      </c>
    </row>
    <row r="5" spans="1:2" x14ac:dyDescent="0.25">
      <c r="A5" s="43">
        <v>46036</v>
      </c>
      <c r="B5" s="37">
        <v>555000</v>
      </c>
    </row>
    <row r="6" spans="1:2" x14ac:dyDescent="0.25">
      <c r="A6" s="43">
        <v>46040</v>
      </c>
      <c r="B6" s="37">
        <v>29400</v>
      </c>
    </row>
    <row r="7" spans="1:2" x14ac:dyDescent="0.25">
      <c r="A7" s="43">
        <v>46041</v>
      </c>
      <c r="B7" s="37">
        <v>62000</v>
      </c>
    </row>
    <row r="8" spans="1:2" x14ac:dyDescent="0.25">
      <c r="A8" s="43">
        <v>46049</v>
      </c>
      <c r="B8" s="37">
        <v>185000</v>
      </c>
    </row>
    <row r="9" spans="1:2" x14ac:dyDescent="0.25">
      <c r="A9" s="43">
        <v>46052</v>
      </c>
      <c r="B9" s="37">
        <v>62500</v>
      </c>
    </row>
    <row r="10" spans="1:2" x14ac:dyDescent="0.25">
      <c r="A10" s="43">
        <v>46053</v>
      </c>
      <c r="B10" s="37">
        <v>185000</v>
      </c>
    </row>
    <row r="11" spans="1:2" x14ac:dyDescent="0.25">
      <c r="A11" s="43">
        <v>46058</v>
      </c>
      <c r="B11" s="37">
        <v>12500</v>
      </c>
    </row>
    <row r="12" spans="1:2" ht="15.75" customHeight="1" x14ac:dyDescent="0.25">
      <c r="A12" s="43">
        <v>46059</v>
      </c>
      <c r="B12" s="37">
        <v>29400</v>
      </c>
    </row>
    <row r="13" spans="1:2" ht="15.75" customHeight="1" x14ac:dyDescent="0.25">
      <c r="A13" s="43">
        <v>46063</v>
      </c>
      <c r="B13" s="37">
        <v>29200</v>
      </c>
    </row>
    <row r="14" spans="1:2" ht="15.75" customHeight="1" x14ac:dyDescent="0.25">
      <c r="A14" s="43">
        <v>46066</v>
      </c>
      <c r="B14" s="37">
        <v>4200</v>
      </c>
    </row>
    <row r="15" spans="1:2" ht="15.75" customHeight="1" x14ac:dyDescent="0.25">
      <c r="A15" s="43">
        <v>46067</v>
      </c>
      <c r="B15" s="37">
        <v>8500</v>
      </c>
    </row>
    <row r="16" spans="1:2" ht="15.75" customHeight="1" x14ac:dyDescent="0.25">
      <c r="A16" s="43">
        <v>46070</v>
      </c>
      <c r="B16" s="37">
        <v>4200</v>
      </c>
    </row>
    <row r="17" spans="1:2" ht="15.75" customHeight="1" x14ac:dyDescent="0.25">
      <c r="A17" s="43">
        <v>46081</v>
      </c>
      <c r="B17" s="37">
        <v>62000</v>
      </c>
    </row>
    <row r="18" spans="1:2" ht="15.75" customHeight="1" x14ac:dyDescent="0.25">
      <c r="A18" s="43">
        <v>46089</v>
      </c>
      <c r="B18" s="37">
        <v>185000</v>
      </c>
    </row>
    <row r="19" spans="1:2" ht="15.75" customHeight="1" x14ac:dyDescent="0.25">
      <c r="A19" s="43">
        <v>46093</v>
      </c>
      <c r="B19" s="37">
        <v>25000</v>
      </c>
    </row>
    <row r="20" spans="1:2" ht="15.75" customHeight="1" x14ac:dyDescent="0.25">
      <c r="A20" s="43">
        <v>46099</v>
      </c>
      <c r="B20" s="37">
        <v>8500</v>
      </c>
    </row>
    <row r="21" spans="1:2" ht="15.75" customHeight="1" x14ac:dyDescent="0.25">
      <c r="A21" s="43">
        <v>46100</v>
      </c>
      <c r="B21" s="37">
        <v>322500</v>
      </c>
    </row>
    <row r="22" spans="1:2" ht="15.75" customHeight="1" x14ac:dyDescent="0.25">
      <c r="A22" s="43">
        <v>46101</v>
      </c>
      <c r="B22" s="37">
        <v>25000</v>
      </c>
    </row>
    <row r="23" spans="1:2" ht="15.75" customHeight="1" x14ac:dyDescent="0.25">
      <c r="A23" s="43">
        <v>46110</v>
      </c>
      <c r="B23" s="37">
        <v>12500</v>
      </c>
    </row>
    <row r="24" spans="1:2" ht="15.75" customHeight="1" x14ac:dyDescent="0.25">
      <c r="A24" s="43">
        <v>46111</v>
      </c>
      <c r="B24" s="37">
        <v>16800</v>
      </c>
    </row>
    <row r="25" spans="1:2" ht="15.75" customHeight="1" x14ac:dyDescent="0.25">
      <c r="A25" s="43">
        <v>46114</v>
      </c>
      <c r="B25" s="37">
        <v>12500</v>
      </c>
    </row>
    <row r="26" spans="1:2" ht="15.75" customHeight="1" x14ac:dyDescent="0.25">
      <c r="A26" s="43">
        <v>46117</v>
      </c>
      <c r="B26" s="37">
        <v>925000</v>
      </c>
    </row>
    <row r="27" spans="1:2" ht="15.75" customHeight="1" x14ac:dyDescent="0.25">
      <c r="A27" s="43">
        <v>46119</v>
      </c>
      <c r="B27" s="37">
        <v>23800</v>
      </c>
    </row>
    <row r="28" spans="1:2" ht="15.75" customHeight="1" x14ac:dyDescent="0.25">
      <c r="A28" s="43">
        <v>46121</v>
      </c>
      <c r="B28" s="37">
        <v>555000</v>
      </c>
    </row>
    <row r="29" spans="1:2" ht="15.75" customHeight="1" x14ac:dyDescent="0.25">
      <c r="A29" s="43">
        <v>46123</v>
      </c>
      <c r="B29" s="37">
        <v>198500</v>
      </c>
    </row>
    <row r="30" spans="1:2" ht="15.75" customHeight="1" x14ac:dyDescent="0.25">
      <c r="A30" s="43">
        <v>46125</v>
      </c>
      <c r="B30" s="37">
        <v>9800</v>
      </c>
    </row>
    <row r="31" spans="1:2" ht="15.75" customHeight="1" x14ac:dyDescent="0.25">
      <c r="A31" s="43">
        <v>46127</v>
      </c>
      <c r="B31" s="37">
        <v>21000</v>
      </c>
    </row>
    <row r="32" spans="1:2" ht="15.75" customHeight="1" x14ac:dyDescent="0.25">
      <c r="A32" s="43">
        <v>46130</v>
      </c>
      <c r="B32" s="37">
        <v>19600</v>
      </c>
    </row>
    <row r="33" spans="1:2" ht="15.75" customHeight="1" x14ac:dyDescent="0.25">
      <c r="A33" s="43">
        <v>46131</v>
      </c>
      <c r="B33" s="37">
        <v>335500</v>
      </c>
    </row>
    <row r="34" spans="1:2" ht="15.75" customHeight="1" x14ac:dyDescent="0.25">
      <c r="A34" s="43">
        <v>46132</v>
      </c>
      <c r="B34" s="37">
        <v>190200</v>
      </c>
    </row>
    <row r="35" spans="1:2" ht="15.75" customHeight="1" x14ac:dyDescent="0.25">
      <c r="A35" s="43">
        <v>46134</v>
      </c>
      <c r="B35" s="37">
        <v>925000</v>
      </c>
    </row>
    <row r="36" spans="1:2" ht="15.75" customHeight="1" x14ac:dyDescent="0.25">
      <c r="A36" s="43">
        <v>46136</v>
      </c>
      <c r="B36" s="37">
        <v>37500</v>
      </c>
    </row>
    <row r="37" spans="1:2" ht="15.75" customHeight="1" x14ac:dyDescent="0.25">
      <c r="A37" s="43">
        <v>46145</v>
      </c>
      <c r="B37" s="37">
        <v>25500</v>
      </c>
    </row>
    <row r="38" spans="1:2" ht="15.75" customHeight="1" x14ac:dyDescent="0.25">
      <c r="A38" s="43">
        <v>46150</v>
      </c>
      <c r="B38" s="37">
        <v>4200</v>
      </c>
    </row>
    <row r="39" spans="1:2" ht="15.75" customHeight="1" x14ac:dyDescent="0.25">
      <c r="A39" s="43">
        <v>46151</v>
      </c>
      <c r="B39" s="37">
        <v>29400</v>
      </c>
    </row>
    <row r="40" spans="1:2" ht="15.75" customHeight="1" x14ac:dyDescent="0.25">
      <c r="A40" s="43">
        <v>46154</v>
      </c>
      <c r="B40" s="37">
        <v>4200</v>
      </c>
    </row>
    <row r="41" spans="1:2" ht="15.75" customHeight="1" x14ac:dyDescent="0.25">
      <c r="A41" s="43">
        <v>46155</v>
      </c>
      <c r="B41" s="37">
        <v>9800</v>
      </c>
    </row>
    <row r="42" spans="1:2" ht="15.75" customHeight="1" x14ac:dyDescent="0.25">
      <c r="A42" s="43">
        <v>46157</v>
      </c>
      <c r="B42" s="37">
        <v>9800</v>
      </c>
    </row>
    <row r="43" spans="1:2" ht="15.75" customHeight="1" x14ac:dyDescent="0.25">
      <c r="A43" s="43">
        <v>46158</v>
      </c>
      <c r="B43" s="37">
        <v>124000</v>
      </c>
    </row>
    <row r="44" spans="1:2" ht="15.75" customHeight="1" x14ac:dyDescent="0.25">
      <c r="A44" s="43">
        <v>46162</v>
      </c>
      <c r="B44" s="37">
        <v>62000</v>
      </c>
    </row>
    <row r="45" spans="1:2" ht="15.75" customHeight="1" x14ac:dyDescent="0.25">
      <c r="A45" s="43">
        <v>46165</v>
      </c>
      <c r="B45" s="37">
        <v>8500</v>
      </c>
    </row>
    <row r="46" spans="1:2" ht="15.75" customHeight="1" x14ac:dyDescent="0.25">
      <c r="A46" s="43">
        <v>46168</v>
      </c>
      <c r="B46" s="37">
        <v>9800</v>
      </c>
    </row>
    <row r="47" spans="1:2" ht="15.75" customHeight="1" x14ac:dyDescent="0.25">
      <c r="A47" s="43">
        <v>46173</v>
      </c>
      <c r="B47" s="37">
        <v>9800</v>
      </c>
    </row>
    <row r="48" spans="1:2" ht="15.75" customHeight="1" x14ac:dyDescent="0.25">
      <c r="A48" s="43">
        <v>46177</v>
      </c>
      <c r="B48" s="37">
        <v>382500</v>
      </c>
    </row>
    <row r="49" spans="1:2" ht="15.75" customHeight="1" x14ac:dyDescent="0.25">
      <c r="A49" s="43">
        <v>46178</v>
      </c>
      <c r="B49" s="37">
        <v>12500</v>
      </c>
    </row>
    <row r="50" spans="1:2" ht="15.75" customHeight="1" x14ac:dyDescent="0.25">
      <c r="A50" s="43">
        <v>46179</v>
      </c>
      <c r="B50" s="37">
        <v>62000</v>
      </c>
    </row>
    <row r="51" spans="1:2" ht="15.75" customHeight="1" x14ac:dyDescent="0.25">
      <c r="A51" s="43">
        <v>46183</v>
      </c>
      <c r="B51" s="37">
        <v>12500</v>
      </c>
    </row>
    <row r="52" spans="1:2" ht="15.75" customHeight="1" x14ac:dyDescent="0.25">
      <c r="A52" s="43">
        <v>46185</v>
      </c>
      <c r="B52" s="37">
        <v>124000</v>
      </c>
    </row>
    <row r="53" spans="1:2" ht="15.75" customHeight="1" x14ac:dyDescent="0.25">
      <c r="A53" s="43">
        <v>46189</v>
      </c>
      <c r="B53" s="37">
        <v>8500</v>
      </c>
    </row>
    <row r="54" spans="1:2" ht="15.75" customHeight="1" x14ac:dyDescent="0.25">
      <c r="A54" s="43">
        <v>46191</v>
      </c>
      <c r="B54" s="37">
        <v>740000</v>
      </c>
    </row>
    <row r="55" spans="1:2" ht="15.75" customHeight="1" x14ac:dyDescent="0.25">
      <c r="A55" s="43">
        <v>46194</v>
      </c>
      <c r="B55" s="37">
        <v>8500</v>
      </c>
    </row>
    <row r="56" spans="1:2" ht="15.75" customHeight="1" x14ac:dyDescent="0.25">
      <c r="A56" s="43">
        <v>46196</v>
      </c>
      <c r="B56" s="37">
        <v>378500</v>
      </c>
    </row>
    <row r="57" spans="1:2" ht="15.75" customHeight="1" x14ac:dyDescent="0.25">
      <c r="A57" s="43">
        <v>46201</v>
      </c>
      <c r="B57" s="37">
        <v>202000</v>
      </c>
    </row>
    <row r="58" spans="1:2" ht="15.75" customHeight="1" x14ac:dyDescent="0.25">
      <c r="A58" s="43">
        <v>46212</v>
      </c>
      <c r="B58" s="37">
        <v>62000</v>
      </c>
    </row>
    <row r="59" spans="1:2" ht="15.75" customHeight="1" x14ac:dyDescent="0.25">
      <c r="A59" s="43">
        <v>46214</v>
      </c>
      <c r="B59" s="37">
        <v>925000</v>
      </c>
    </row>
    <row r="60" spans="1:2" ht="15.75" customHeight="1" x14ac:dyDescent="0.25">
      <c r="A60" s="43">
        <v>46216</v>
      </c>
      <c r="B60" s="37">
        <v>124000</v>
      </c>
    </row>
    <row r="61" spans="1:2" ht="15.75" customHeight="1" x14ac:dyDescent="0.25">
      <c r="A61" s="43">
        <v>46218</v>
      </c>
      <c r="B61" s="37">
        <v>37500</v>
      </c>
    </row>
    <row r="62" spans="1:2" ht="15.75" customHeight="1" x14ac:dyDescent="0.25">
      <c r="A62" s="43">
        <v>46223</v>
      </c>
      <c r="B62" s="37">
        <v>12600</v>
      </c>
    </row>
    <row r="63" spans="1:2" ht="15.75" customHeight="1" x14ac:dyDescent="0.25">
      <c r="A63" s="43">
        <v>46228</v>
      </c>
      <c r="B63" s="37">
        <v>37500</v>
      </c>
    </row>
    <row r="64" spans="1:2" ht="15.75" customHeight="1" x14ac:dyDescent="0.25">
      <c r="A64" s="43">
        <v>46229</v>
      </c>
      <c r="B64" s="37">
        <v>19600</v>
      </c>
    </row>
    <row r="65" spans="1:2" ht="15.75" customHeight="1" x14ac:dyDescent="0.25">
      <c r="A65" s="43">
        <v>46231</v>
      </c>
      <c r="B65" s="37">
        <v>416700</v>
      </c>
    </row>
    <row r="66" spans="1:2" ht="15.75" customHeight="1" x14ac:dyDescent="0.25">
      <c r="A66" s="43">
        <v>46236</v>
      </c>
      <c r="B66" s="37">
        <v>8500</v>
      </c>
    </row>
    <row r="67" spans="1:2" ht="15.75" customHeight="1" x14ac:dyDescent="0.25">
      <c r="A67" s="43">
        <v>46237</v>
      </c>
      <c r="B67" s="37">
        <v>193500</v>
      </c>
    </row>
    <row r="68" spans="1:2" ht="15.75" customHeight="1" x14ac:dyDescent="0.25">
      <c r="A68" s="43">
        <v>46242</v>
      </c>
      <c r="B68" s="37">
        <v>12600</v>
      </c>
    </row>
    <row r="69" spans="1:2" ht="15.75" customHeight="1" x14ac:dyDescent="0.25">
      <c r="A69" s="43">
        <v>46243</v>
      </c>
      <c r="B69" s="37">
        <v>17000</v>
      </c>
    </row>
    <row r="70" spans="1:2" ht="15.75" customHeight="1" x14ac:dyDescent="0.25">
      <c r="A70" s="43">
        <v>46246</v>
      </c>
      <c r="B70" s="37">
        <v>62000</v>
      </c>
    </row>
    <row r="71" spans="1:2" ht="15.75" customHeight="1" x14ac:dyDescent="0.25">
      <c r="A71" s="43">
        <v>46247</v>
      </c>
      <c r="B71" s="37">
        <v>8500</v>
      </c>
    </row>
    <row r="72" spans="1:2" ht="15.75" customHeight="1" x14ac:dyDescent="0.25">
      <c r="A72" s="43">
        <v>46249</v>
      </c>
      <c r="B72" s="37">
        <v>33400</v>
      </c>
    </row>
    <row r="73" spans="1:2" ht="15.75" customHeight="1" x14ac:dyDescent="0.25">
      <c r="A73" s="43">
        <v>46254</v>
      </c>
      <c r="B73" s="37">
        <v>25000</v>
      </c>
    </row>
    <row r="74" spans="1:2" ht="15.75" customHeight="1" x14ac:dyDescent="0.25">
      <c r="A74" s="43">
        <v>46265</v>
      </c>
      <c r="B74" s="37">
        <v>16800</v>
      </c>
    </row>
    <row r="75" spans="1:2" ht="15.75" customHeight="1" x14ac:dyDescent="0.25">
      <c r="A75" s="43">
        <v>46268</v>
      </c>
      <c r="B75" s="37">
        <v>185000</v>
      </c>
    </row>
    <row r="76" spans="1:2" ht="15.75" customHeight="1" x14ac:dyDescent="0.25">
      <c r="A76" s="43">
        <v>46271</v>
      </c>
      <c r="B76" s="37">
        <v>49000</v>
      </c>
    </row>
    <row r="77" spans="1:2" ht="15.75" customHeight="1" x14ac:dyDescent="0.25">
      <c r="A77" s="43">
        <v>46272</v>
      </c>
      <c r="B77" s="37">
        <v>8500</v>
      </c>
    </row>
    <row r="78" spans="1:2" ht="15.75" customHeight="1" x14ac:dyDescent="0.25">
      <c r="A78" s="43">
        <v>46275</v>
      </c>
      <c r="B78" s="37">
        <v>25500</v>
      </c>
    </row>
    <row r="79" spans="1:2" ht="15.75" customHeight="1" x14ac:dyDescent="0.25">
      <c r="A79" s="43">
        <v>46276</v>
      </c>
      <c r="B79" s="37">
        <v>71500</v>
      </c>
    </row>
    <row r="80" spans="1:2" ht="15.75" customHeight="1" x14ac:dyDescent="0.25">
      <c r="A80" s="43">
        <v>46279</v>
      </c>
      <c r="B80" s="37">
        <v>30800</v>
      </c>
    </row>
    <row r="81" spans="1:2" ht="15.75" customHeight="1" x14ac:dyDescent="0.25">
      <c r="A81" s="43">
        <v>46281</v>
      </c>
      <c r="B81" s="37">
        <v>12700</v>
      </c>
    </row>
    <row r="82" spans="1:2" ht="15.75" customHeight="1" x14ac:dyDescent="0.25">
      <c r="A82" s="43">
        <v>46282</v>
      </c>
      <c r="B82" s="37">
        <v>29400</v>
      </c>
    </row>
    <row r="83" spans="1:2" ht="15.75" customHeight="1" x14ac:dyDescent="0.25">
      <c r="A83" s="43">
        <v>46288</v>
      </c>
      <c r="B83" s="37">
        <v>12500</v>
      </c>
    </row>
    <row r="84" spans="1:2" ht="15.75" customHeight="1" x14ac:dyDescent="0.25">
      <c r="A84" s="43">
        <v>46295</v>
      </c>
      <c r="B84" s="37">
        <v>25000</v>
      </c>
    </row>
    <row r="85" spans="1:2" ht="15.75" customHeight="1" x14ac:dyDescent="0.25">
      <c r="A85" s="44" t="s">
        <v>18</v>
      </c>
      <c r="B85" s="38">
        <v>9797200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"/>
  <sheetViews>
    <sheetView showGridLines="0" tabSelected="1" topLeftCell="A10" workbookViewId="0">
      <selection activeCell="A4" sqref="A4:B4"/>
    </sheetView>
  </sheetViews>
  <sheetFormatPr defaultColWidth="12.6640625" defaultRowHeight="15.75" customHeight="1" x14ac:dyDescent="0.25"/>
  <cols>
    <col min="1" max="1" width="24.88671875" customWidth="1"/>
    <col min="7" max="7" width="14.33203125" customWidth="1"/>
    <col min="8" max="8" width="12.44140625" customWidth="1"/>
  </cols>
  <sheetData>
    <row r="1" spans="1:8" ht="15.75" customHeight="1" x14ac:dyDescent="0.6">
      <c r="A1" s="21" t="s">
        <v>70</v>
      </c>
      <c r="B1" s="16"/>
      <c r="C1" s="16"/>
      <c r="D1" s="16"/>
      <c r="E1" s="16"/>
      <c r="F1" s="16"/>
      <c r="G1" s="16"/>
      <c r="H1" s="16"/>
    </row>
    <row r="3" spans="1:8" x14ac:dyDescent="0.25">
      <c r="A3" s="24" t="s">
        <v>72</v>
      </c>
      <c r="B3" s="18"/>
      <c r="C3" s="26" t="s">
        <v>73</v>
      </c>
      <c r="D3" s="18"/>
      <c r="E3" s="22" t="s">
        <v>74</v>
      </c>
      <c r="F3" s="18"/>
      <c r="G3" s="17" t="s">
        <v>76</v>
      </c>
      <c r="H3" s="18"/>
    </row>
    <row r="4" spans="1:8" x14ac:dyDescent="0.25">
      <c r="A4" s="25">
        <f>Clean_Data!L2</f>
        <v>9797200</v>
      </c>
      <c r="B4" s="20"/>
      <c r="C4" s="27">
        <f>Clean_Data!L3</f>
        <v>100</v>
      </c>
      <c r="D4" s="20"/>
      <c r="E4" s="23">
        <f>Clean_Data!L4</f>
        <v>203</v>
      </c>
      <c r="F4" s="20"/>
      <c r="G4" s="19">
        <f>Clean_Data!L5</f>
        <v>97972</v>
      </c>
      <c r="H4" s="20"/>
    </row>
    <row r="5" spans="1:8" x14ac:dyDescent="0.25">
      <c r="A5" s="5"/>
      <c r="B5" s="6"/>
      <c r="C5" s="7"/>
      <c r="D5" s="8"/>
      <c r="E5" s="9"/>
      <c r="F5" s="10"/>
      <c r="G5" s="11"/>
      <c r="H5" s="12"/>
    </row>
    <row r="7" spans="1:8" x14ac:dyDescent="0.25">
      <c r="A7" s="28"/>
      <c r="B7" s="29"/>
      <c r="C7" s="29"/>
      <c r="D7" s="18"/>
      <c r="E7" s="28"/>
      <c r="F7" s="29"/>
      <c r="G7" s="29"/>
      <c r="H7" s="18"/>
    </row>
    <row r="8" spans="1:8" x14ac:dyDescent="0.25">
      <c r="A8" s="30"/>
      <c r="B8" s="16"/>
      <c r="C8" s="16"/>
      <c r="D8" s="20"/>
      <c r="E8" s="30"/>
      <c r="F8" s="16"/>
      <c r="G8" s="16"/>
      <c r="H8" s="20"/>
    </row>
    <row r="9" spans="1:8" x14ac:dyDescent="0.25">
      <c r="A9" s="30"/>
      <c r="B9" s="16"/>
      <c r="C9" s="16"/>
      <c r="D9" s="20"/>
      <c r="E9" s="30"/>
      <c r="F9" s="16"/>
      <c r="G9" s="16"/>
      <c r="H9" s="20"/>
    </row>
    <row r="10" spans="1:8" x14ac:dyDescent="0.25">
      <c r="A10" s="30"/>
      <c r="B10" s="16"/>
      <c r="C10" s="16"/>
      <c r="D10" s="20"/>
      <c r="E10" s="30"/>
      <c r="F10" s="16"/>
      <c r="G10" s="16"/>
      <c r="H10" s="20"/>
    </row>
    <row r="11" spans="1:8" x14ac:dyDescent="0.25">
      <c r="A11" s="30"/>
      <c r="B11" s="16"/>
      <c r="C11" s="16"/>
      <c r="D11" s="20"/>
      <c r="E11" s="30"/>
      <c r="F11" s="16"/>
      <c r="G11" s="16"/>
      <c r="H11" s="20"/>
    </row>
    <row r="12" spans="1:8" x14ac:dyDescent="0.25">
      <c r="A12" s="30"/>
      <c r="B12" s="16"/>
      <c r="C12" s="16"/>
      <c r="D12" s="20"/>
      <c r="E12" s="30"/>
      <c r="F12" s="16"/>
      <c r="G12" s="16"/>
      <c r="H12" s="20"/>
    </row>
    <row r="13" spans="1:8" x14ac:dyDescent="0.25">
      <c r="A13" s="30"/>
      <c r="B13" s="16"/>
      <c r="C13" s="16"/>
      <c r="D13" s="20"/>
      <c r="E13" s="30"/>
      <c r="F13" s="16"/>
      <c r="G13" s="16"/>
      <c r="H13" s="20"/>
    </row>
    <row r="14" spans="1:8" x14ac:dyDescent="0.25">
      <c r="A14" s="30"/>
      <c r="B14" s="16"/>
      <c r="C14" s="16"/>
      <c r="D14" s="20"/>
      <c r="E14" s="30"/>
      <c r="F14" s="16"/>
      <c r="G14" s="16"/>
      <c r="H14" s="20"/>
    </row>
    <row r="15" spans="1:8" x14ac:dyDescent="0.25">
      <c r="A15" s="30"/>
      <c r="B15" s="16"/>
      <c r="C15" s="16"/>
      <c r="D15" s="20"/>
      <c r="E15" s="30"/>
      <c r="F15" s="16"/>
      <c r="G15" s="16"/>
      <c r="H15" s="20"/>
    </row>
    <row r="16" spans="1:8" x14ac:dyDescent="0.25">
      <c r="A16" s="30"/>
      <c r="B16" s="16"/>
      <c r="C16" s="16"/>
      <c r="D16" s="20"/>
      <c r="E16" s="30"/>
      <c r="F16" s="16"/>
      <c r="G16" s="16"/>
      <c r="H16" s="20"/>
    </row>
    <row r="17" spans="1:8" ht="13.2" x14ac:dyDescent="0.25">
      <c r="A17" s="30"/>
      <c r="B17" s="16"/>
      <c r="C17" s="16"/>
      <c r="D17" s="20"/>
      <c r="E17" s="30"/>
      <c r="F17" s="16"/>
      <c r="G17" s="16"/>
      <c r="H17" s="20"/>
    </row>
    <row r="18" spans="1:8" ht="13.2" x14ac:dyDescent="0.25">
      <c r="A18" s="30"/>
      <c r="B18" s="16"/>
      <c r="C18" s="16"/>
      <c r="D18" s="20"/>
      <c r="E18" s="30"/>
      <c r="F18" s="16"/>
      <c r="G18" s="16"/>
      <c r="H18" s="20"/>
    </row>
    <row r="19" spans="1:8" ht="13.2" x14ac:dyDescent="0.25">
      <c r="A19" s="31"/>
      <c r="B19" s="32"/>
      <c r="C19" s="32"/>
      <c r="D19" s="33"/>
      <c r="E19" s="31"/>
      <c r="F19" s="32"/>
      <c r="G19" s="32"/>
      <c r="H19" s="33"/>
    </row>
    <row r="21" spans="1:8" ht="13.2" x14ac:dyDescent="0.25">
      <c r="A21" s="28"/>
      <c r="B21" s="29"/>
      <c r="C21" s="29"/>
      <c r="D21" s="18"/>
      <c r="E21" s="28"/>
      <c r="F21" s="29"/>
      <c r="G21" s="29"/>
      <c r="H21" s="18"/>
    </row>
    <row r="22" spans="1:8" ht="13.2" x14ac:dyDescent="0.25">
      <c r="A22" s="30"/>
      <c r="B22" s="16"/>
      <c r="C22" s="16"/>
      <c r="D22" s="20"/>
      <c r="E22" s="30"/>
      <c r="F22" s="16"/>
      <c r="G22" s="16"/>
      <c r="H22" s="20"/>
    </row>
    <row r="23" spans="1:8" ht="13.2" x14ac:dyDescent="0.25">
      <c r="A23" s="30"/>
      <c r="B23" s="16"/>
      <c r="C23" s="16"/>
      <c r="D23" s="20"/>
      <c r="E23" s="30"/>
      <c r="F23" s="16"/>
      <c r="G23" s="16"/>
      <c r="H23" s="20"/>
    </row>
    <row r="24" spans="1:8" ht="13.2" x14ac:dyDescent="0.25">
      <c r="A24" s="30"/>
      <c r="B24" s="16"/>
      <c r="C24" s="16"/>
      <c r="D24" s="20"/>
      <c r="E24" s="30"/>
      <c r="F24" s="16"/>
      <c r="G24" s="16"/>
      <c r="H24" s="20"/>
    </row>
    <row r="25" spans="1:8" ht="13.2" x14ac:dyDescent="0.25">
      <c r="A25" s="30"/>
      <c r="B25" s="16"/>
      <c r="C25" s="16"/>
      <c r="D25" s="20"/>
      <c r="E25" s="30"/>
      <c r="F25" s="16"/>
      <c r="G25" s="16"/>
      <c r="H25" s="20"/>
    </row>
    <row r="26" spans="1:8" ht="13.2" x14ac:dyDescent="0.25">
      <c r="A26" s="30"/>
      <c r="B26" s="16"/>
      <c r="C26" s="16"/>
      <c r="D26" s="20"/>
      <c r="E26" s="30"/>
      <c r="F26" s="16"/>
      <c r="G26" s="16"/>
      <c r="H26" s="20"/>
    </row>
    <row r="27" spans="1:8" ht="13.2" x14ac:dyDescent="0.25">
      <c r="A27" s="30"/>
      <c r="B27" s="16"/>
      <c r="C27" s="16"/>
      <c r="D27" s="20"/>
      <c r="E27" s="30"/>
      <c r="F27" s="16"/>
      <c r="G27" s="16"/>
      <c r="H27" s="20"/>
    </row>
    <row r="28" spans="1:8" ht="13.2" x14ac:dyDescent="0.25">
      <c r="A28" s="30"/>
      <c r="B28" s="16"/>
      <c r="C28" s="16"/>
      <c r="D28" s="20"/>
      <c r="E28" s="30"/>
      <c r="F28" s="16"/>
      <c r="G28" s="16"/>
      <c r="H28" s="20"/>
    </row>
    <row r="29" spans="1:8" ht="13.2" x14ac:dyDescent="0.25">
      <c r="A29" s="30"/>
      <c r="B29" s="16"/>
      <c r="C29" s="16"/>
      <c r="D29" s="20"/>
      <c r="E29" s="30"/>
      <c r="F29" s="16"/>
      <c r="G29" s="16"/>
      <c r="H29" s="20"/>
    </row>
    <row r="30" spans="1:8" ht="13.2" x14ac:dyDescent="0.25">
      <c r="A30" s="30"/>
      <c r="B30" s="16"/>
      <c r="C30" s="16"/>
      <c r="D30" s="20"/>
      <c r="E30" s="30"/>
      <c r="F30" s="16"/>
      <c r="G30" s="16"/>
      <c r="H30" s="20"/>
    </row>
    <row r="31" spans="1:8" ht="13.2" x14ac:dyDescent="0.25">
      <c r="A31" s="30"/>
      <c r="B31" s="16"/>
      <c r="C31" s="16"/>
      <c r="D31" s="20"/>
      <c r="E31" s="30"/>
      <c r="F31" s="16"/>
      <c r="G31" s="16"/>
      <c r="H31" s="20"/>
    </row>
    <row r="32" spans="1:8" ht="13.2" x14ac:dyDescent="0.25">
      <c r="A32" s="30"/>
      <c r="B32" s="16"/>
      <c r="C32" s="16"/>
      <c r="D32" s="20"/>
      <c r="E32" s="30"/>
      <c r="F32" s="16"/>
      <c r="G32" s="16"/>
      <c r="H32" s="20"/>
    </row>
    <row r="33" spans="1:8" ht="13.2" x14ac:dyDescent="0.25">
      <c r="A33" s="31"/>
      <c r="B33" s="32"/>
      <c r="C33" s="32"/>
      <c r="D33" s="33"/>
      <c r="E33" s="31"/>
      <c r="F33" s="32"/>
      <c r="G33" s="32"/>
      <c r="H33" s="33"/>
    </row>
  </sheetData>
  <mergeCells count="13">
    <mergeCell ref="A7:D19"/>
    <mergeCell ref="E7:H19"/>
    <mergeCell ref="A21:D33"/>
    <mergeCell ref="E21:H33"/>
    <mergeCell ref="G3:H3"/>
    <mergeCell ref="G4:H4"/>
    <mergeCell ref="A1:H1"/>
    <mergeCell ref="E3:F3"/>
    <mergeCell ref="E4:F4"/>
    <mergeCell ref="A3:B3"/>
    <mergeCell ref="A4:B4"/>
    <mergeCell ref="C3:D3"/>
    <mergeCell ref="C4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34" t="s">
        <v>7</v>
      </c>
      <c r="B1" s="35" t="s">
        <v>13</v>
      </c>
    </row>
    <row r="2" spans="1:2" x14ac:dyDescent="0.25">
      <c r="A2" s="39" t="s">
        <v>14</v>
      </c>
      <c r="B2" s="36">
        <v>2270500</v>
      </c>
    </row>
    <row r="3" spans="1:2" x14ac:dyDescent="0.25">
      <c r="A3" s="40" t="s">
        <v>11</v>
      </c>
      <c r="B3" s="37">
        <v>1469700</v>
      </c>
    </row>
    <row r="4" spans="1:2" x14ac:dyDescent="0.25">
      <c r="A4" s="40" t="s">
        <v>16</v>
      </c>
      <c r="B4" s="37">
        <v>3435800</v>
      </c>
    </row>
    <row r="5" spans="1:2" x14ac:dyDescent="0.25">
      <c r="A5" s="40" t="s">
        <v>17</v>
      </c>
      <c r="B5" s="37">
        <v>2621200</v>
      </c>
    </row>
    <row r="6" spans="1:2" x14ac:dyDescent="0.25">
      <c r="A6" s="41" t="s">
        <v>18</v>
      </c>
      <c r="B6" s="38">
        <v>9797200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34" t="s">
        <v>3</v>
      </c>
      <c r="B1" s="35" t="s">
        <v>13</v>
      </c>
    </row>
    <row r="2" spans="1:2" x14ac:dyDescent="0.25">
      <c r="A2" s="39" t="s">
        <v>10</v>
      </c>
      <c r="B2" s="36">
        <v>1216200</v>
      </c>
    </row>
    <row r="3" spans="1:2" x14ac:dyDescent="0.25">
      <c r="A3" s="40" t="s">
        <v>21</v>
      </c>
      <c r="B3" s="37">
        <v>8581000</v>
      </c>
    </row>
    <row r="4" spans="1:2" x14ac:dyDescent="0.25">
      <c r="A4" s="41" t="s">
        <v>18</v>
      </c>
      <c r="B4" s="38">
        <v>9797200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8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34" t="s">
        <v>2</v>
      </c>
      <c r="B1" s="35" t="s">
        <v>13</v>
      </c>
    </row>
    <row r="2" spans="1:2" x14ac:dyDescent="0.25">
      <c r="A2" s="39" t="s">
        <v>9</v>
      </c>
      <c r="B2" s="36">
        <v>487500</v>
      </c>
    </row>
    <row r="3" spans="1:2" x14ac:dyDescent="0.25">
      <c r="A3" s="40" t="s">
        <v>15</v>
      </c>
      <c r="B3" s="37">
        <v>297500</v>
      </c>
    </row>
    <row r="4" spans="1:2" x14ac:dyDescent="0.25">
      <c r="A4" s="40" t="s">
        <v>20</v>
      </c>
      <c r="B4" s="37">
        <v>6845000</v>
      </c>
    </row>
    <row r="5" spans="1:2" x14ac:dyDescent="0.25">
      <c r="A5" s="40" t="s">
        <v>37</v>
      </c>
      <c r="B5" s="37">
        <v>1736000</v>
      </c>
    </row>
    <row r="6" spans="1:2" x14ac:dyDescent="0.25">
      <c r="A6" s="40" t="s">
        <v>28</v>
      </c>
      <c r="B6" s="37">
        <v>147000</v>
      </c>
    </row>
    <row r="7" spans="1:2" x14ac:dyDescent="0.25">
      <c r="A7" s="40" t="s">
        <v>25</v>
      </c>
      <c r="B7" s="37">
        <v>284200</v>
      </c>
    </row>
    <row r="8" spans="1:2" x14ac:dyDescent="0.25">
      <c r="A8" s="41" t="s">
        <v>18</v>
      </c>
      <c r="B8" s="38">
        <v>9797200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1"/>
  <sheetViews>
    <sheetView workbookViewId="0"/>
  </sheetViews>
  <sheetFormatPr defaultColWidth="12.6640625" defaultRowHeight="15.75" customHeight="1" x14ac:dyDescent="0.25"/>
  <cols>
    <col min="9" max="9" width="17.21875" customWidth="1"/>
    <col min="11" max="11" width="17.21875" customWidth="1"/>
  </cols>
  <sheetData>
    <row r="1" spans="1:12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93</v>
      </c>
      <c r="K1" s="13" t="s">
        <v>95</v>
      </c>
      <c r="L1" s="13" t="s">
        <v>96</v>
      </c>
    </row>
    <row r="2" spans="1:12" ht="22.5" customHeight="1" x14ac:dyDescent="0.25">
      <c r="A2" s="3" t="s">
        <v>8</v>
      </c>
      <c r="B2" s="4">
        <v>46178</v>
      </c>
      <c r="C2" s="3" t="s">
        <v>9</v>
      </c>
      <c r="D2" s="3" t="s">
        <v>10</v>
      </c>
      <c r="E2" s="3">
        <v>1</v>
      </c>
      <c r="F2" s="3">
        <v>12500</v>
      </c>
      <c r="G2" s="3">
        <f t="shared" ref="G2:G101" si="0">E2*F2</f>
        <v>12500</v>
      </c>
      <c r="H2" s="3" t="s">
        <v>11</v>
      </c>
      <c r="I2" s="3">
        <f t="shared" ref="I2:I101" si="1">E2*F2</f>
        <v>12500</v>
      </c>
      <c r="K2" s="14" t="s">
        <v>99</v>
      </c>
      <c r="L2" s="14">
        <f>SUM(G2:G101)</f>
        <v>9797200</v>
      </c>
    </row>
    <row r="3" spans="1:12" ht="22.5" customHeight="1" x14ac:dyDescent="0.25">
      <c r="A3" s="3" t="s">
        <v>12</v>
      </c>
      <c r="B3" s="4">
        <v>46165</v>
      </c>
      <c r="C3" s="3" t="s">
        <v>15</v>
      </c>
      <c r="D3" s="3" t="s">
        <v>10</v>
      </c>
      <c r="E3" s="3">
        <v>1</v>
      </c>
      <c r="F3" s="3">
        <v>8500</v>
      </c>
      <c r="G3" s="3">
        <f t="shared" si="0"/>
        <v>8500</v>
      </c>
      <c r="H3" s="3" t="s">
        <v>14</v>
      </c>
      <c r="I3" s="3">
        <f t="shared" si="1"/>
        <v>8500</v>
      </c>
      <c r="K3" s="14" t="s">
        <v>101</v>
      </c>
      <c r="L3" s="14">
        <f>COUNTA(A2:A101)</f>
        <v>100</v>
      </c>
    </row>
    <row r="4" spans="1:12" ht="22.5" customHeight="1" x14ac:dyDescent="0.25">
      <c r="A4" s="3" t="s">
        <v>19</v>
      </c>
      <c r="B4" s="4">
        <v>46237</v>
      </c>
      <c r="C4" s="3" t="s">
        <v>20</v>
      </c>
      <c r="D4" s="3" t="s">
        <v>21</v>
      </c>
      <c r="E4" s="3">
        <v>1</v>
      </c>
      <c r="F4" s="3">
        <v>185000</v>
      </c>
      <c r="G4" s="3">
        <f t="shared" si="0"/>
        <v>185000</v>
      </c>
      <c r="H4" s="3" t="s">
        <v>11</v>
      </c>
      <c r="I4" s="3">
        <f t="shared" si="1"/>
        <v>185000</v>
      </c>
      <c r="K4" s="14" t="s">
        <v>104</v>
      </c>
      <c r="L4" s="14">
        <f>SUM(E2:E101)</f>
        <v>203</v>
      </c>
    </row>
    <row r="5" spans="1:12" ht="22.5" customHeight="1" x14ac:dyDescent="0.25">
      <c r="A5" s="3" t="s">
        <v>22</v>
      </c>
      <c r="B5" s="4">
        <v>46228</v>
      </c>
      <c r="C5" s="3" t="s">
        <v>9</v>
      </c>
      <c r="D5" s="3" t="s">
        <v>10</v>
      </c>
      <c r="E5" s="3">
        <v>3</v>
      </c>
      <c r="F5" s="3">
        <v>12500</v>
      </c>
      <c r="G5" s="3">
        <f t="shared" si="0"/>
        <v>37500</v>
      </c>
      <c r="H5" s="3" t="s">
        <v>16</v>
      </c>
      <c r="I5" s="3">
        <f t="shared" si="1"/>
        <v>37500</v>
      </c>
      <c r="K5" s="14" t="s">
        <v>106</v>
      </c>
      <c r="L5" s="14">
        <f>L2/L3</f>
        <v>97972</v>
      </c>
    </row>
    <row r="6" spans="1:12" ht="22.5" customHeight="1" x14ac:dyDescent="0.25">
      <c r="A6" s="3" t="s">
        <v>23</v>
      </c>
      <c r="B6" s="4">
        <v>46123</v>
      </c>
      <c r="C6" s="3" t="s">
        <v>9</v>
      </c>
      <c r="D6" s="3" t="s">
        <v>10</v>
      </c>
      <c r="E6" s="3">
        <v>1</v>
      </c>
      <c r="F6" s="3">
        <v>12500</v>
      </c>
      <c r="G6" s="3">
        <f t="shared" si="0"/>
        <v>12500</v>
      </c>
      <c r="H6" s="3" t="s">
        <v>16</v>
      </c>
      <c r="I6" s="3">
        <f t="shared" si="1"/>
        <v>12500</v>
      </c>
    </row>
    <row r="7" spans="1:12" ht="22.5" customHeight="1" x14ac:dyDescent="0.25">
      <c r="A7" s="3" t="s">
        <v>24</v>
      </c>
      <c r="B7" s="4">
        <v>46130</v>
      </c>
      <c r="C7" s="3" t="s">
        <v>25</v>
      </c>
      <c r="D7" s="3" t="s">
        <v>10</v>
      </c>
      <c r="E7" s="3">
        <v>2</v>
      </c>
      <c r="F7" s="3">
        <v>9800</v>
      </c>
      <c r="G7" s="3">
        <f t="shared" si="0"/>
        <v>19600</v>
      </c>
      <c r="H7" s="3" t="s">
        <v>11</v>
      </c>
      <c r="I7" s="3">
        <f t="shared" si="1"/>
        <v>19600</v>
      </c>
    </row>
    <row r="8" spans="1:12" ht="22.5" customHeight="1" x14ac:dyDescent="0.25">
      <c r="A8" s="3" t="s">
        <v>26</v>
      </c>
      <c r="B8" s="4">
        <v>46058</v>
      </c>
      <c r="C8" s="3" t="s">
        <v>9</v>
      </c>
      <c r="D8" s="3" t="s">
        <v>10</v>
      </c>
      <c r="E8" s="3">
        <v>1</v>
      </c>
      <c r="F8" s="3">
        <v>12500</v>
      </c>
      <c r="G8" s="3">
        <f t="shared" si="0"/>
        <v>12500</v>
      </c>
      <c r="H8" s="3" t="s">
        <v>11</v>
      </c>
      <c r="I8" s="3">
        <f t="shared" si="1"/>
        <v>12500</v>
      </c>
    </row>
    <row r="9" spans="1:12" ht="22.5" customHeight="1" x14ac:dyDescent="0.25">
      <c r="A9" s="3" t="s">
        <v>27</v>
      </c>
      <c r="B9" s="4">
        <v>46265</v>
      </c>
      <c r="C9" s="3" t="s">
        <v>28</v>
      </c>
      <c r="D9" s="3" t="s">
        <v>10</v>
      </c>
      <c r="E9" s="3">
        <v>1</v>
      </c>
      <c r="F9" s="3">
        <v>4200</v>
      </c>
      <c r="G9" s="3">
        <f t="shared" si="0"/>
        <v>4200</v>
      </c>
      <c r="H9" s="3" t="s">
        <v>16</v>
      </c>
      <c r="I9" s="3">
        <f t="shared" si="1"/>
        <v>4200</v>
      </c>
    </row>
    <row r="10" spans="1:12" ht="22.5" customHeight="1" x14ac:dyDescent="0.25">
      <c r="A10" s="3" t="s">
        <v>29</v>
      </c>
      <c r="B10" s="4">
        <v>46282</v>
      </c>
      <c r="C10" s="3" t="s">
        <v>25</v>
      </c>
      <c r="D10" s="3" t="s">
        <v>10</v>
      </c>
      <c r="E10" s="3">
        <v>3</v>
      </c>
      <c r="F10" s="3">
        <v>9800</v>
      </c>
      <c r="G10" s="3">
        <f t="shared" si="0"/>
        <v>29400</v>
      </c>
      <c r="H10" s="3" t="s">
        <v>11</v>
      </c>
      <c r="I10" s="3">
        <f t="shared" si="1"/>
        <v>29400</v>
      </c>
    </row>
    <row r="11" spans="1:12" ht="22.5" customHeight="1" x14ac:dyDescent="0.25">
      <c r="A11" s="3" t="s">
        <v>30</v>
      </c>
      <c r="B11" s="4">
        <v>46049</v>
      </c>
      <c r="C11" s="3" t="s">
        <v>20</v>
      </c>
      <c r="D11" s="3" t="s">
        <v>21</v>
      </c>
      <c r="E11" s="3">
        <v>1</v>
      </c>
      <c r="F11" s="3">
        <v>185000</v>
      </c>
      <c r="G11" s="3">
        <f t="shared" si="0"/>
        <v>185000</v>
      </c>
      <c r="H11" s="3" t="s">
        <v>11</v>
      </c>
      <c r="I11" s="3">
        <f t="shared" si="1"/>
        <v>185000</v>
      </c>
    </row>
    <row r="12" spans="1:12" ht="22.5" customHeight="1" x14ac:dyDescent="0.25">
      <c r="A12" s="3" t="s">
        <v>31</v>
      </c>
      <c r="B12" s="4">
        <v>46214</v>
      </c>
      <c r="C12" s="3" t="s">
        <v>20</v>
      </c>
      <c r="D12" s="3" t="s">
        <v>21</v>
      </c>
      <c r="E12" s="3">
        <v>5</v>
      </c>
      <c r="F12" s="3">
        <v>185000</v>
      </c>
      <c r="G12" s="3">
        <f t="shared" si="0"/>
        <v>925000</v>
      </c>
      <c r="H12" s="3" t="s">
        <v>14</v>
      </c>
      <c r="I12" s="3">
        <f t="shared" si="1"/>
        <v>925000</v>
      </c>
    </row>
    <row r="13" spans="1:12" ht="22.5" customHeight="1" x14ac:dyDescent="0.25">
      <c r="A13" s="3" t="s">
        <v>32</v>
      </c>
      <c r="B13" s="4">
        <v>46132</v>
      </c>
      <c r="C13" s="3" t="s">
        <v>28</v>
      </c>
      <c r="D13" s="3" t="s">
        <v>10</v>
      </c>
      <c r="E13" s="3">
        <v>1</v>
      </c>
      <c r="F13" s="3">
        <v>4200</v>
      </c>
      <c r="G13" s="3">
        <f t="shared" si="0"/>
        <v>4200</v>
      </c>
      <c r="H13" s="3" t="s">
        <v>16</v>
      </c>
      <c r="I13" s="3">
        <f t="shared" si="1"/>
        <v>4200</v>
      </c>
    </row>
    <row r="14" spans="1:12" ht="22.5" customHeight="1" x14ac:dyDescent="0.25">
      <c r="A14" s="3" t="s">
        <v>33</v>
      </c>
      <c r="B14" s="4">
        <v>46052</v>
      </c>
      <c r="C14" s="3" t="s">
        <v>9</v>
      </c>
      <c r="D14" s="3" t="s">
        <v>10</v>
      </c>
      <c r="E14" s="3">
        <v>5</v>
      </c>
      <c r="F14" s="3">
        <v>12500</v>
      </c>
      <c r="G14" s="3">
        <f t="shared" si="0"/>
        <v>62500</v>
      </c>
      <c r="H14" s="3" t="s">
        <v>11</v>
      </c>
      <c r="I14" s="3">
        <f t="shared" si="1"/>
        <v>62500</v>
      </c>
    </row>
    <row r="15" spans="1:12" ht="22.5" customHeight="1" x14ac:dyDescent="0.25">
      <c r="A15" s="3" t="s">
        <v>34</v>
      </c>
      <c r="B15" s="4">
        <v>46121</v>
      </c>
      <c r="C15" s="3" t="s">
        <v>20</v>
      </c>
      <c r="D15" s="3" t="s">
        <v>21</v>
      </c>
      <c r="E15" s="3">
        <v>3</v>
      </c>
      <c r="F15" s="3">
        <v>185000</v>
      </c>
      <c r="G15" s="3">
        <f t="shared" si="0"/>
        <v>555000</v>
      </c>
      <c r="H15" s="3" t="s">
        <v>16</v>
      </c>
      <c r="I15" s="3">
        <f t="shared" si="1"/>
        <v>555000</v>
      </c>
    </row>
    <row r="16" spans="1:12" ht="22.5" customHeight="1" x14ac:dyDescent="0.25">
      <c r="A16" s="3" t="s">
        <v>35</v>
      </c>
      <c r="B16" s="4">
        <v>46201</v>
      </c>
      <c r="C16" s="3" t="s">
        <v>15</v>
      </c>
      <c r="D16" s="3" t="s">
        <v>10</v>
      </c>
      <c r="E16" s="3">
        <v>2</v>
      </c>
      <c r="F16" s="3">
        <v>8500</v>
      </c>
      <c r="G16" s="3">
        <f t="shared" si="0"/>
        <v>17000</v>
      </c>
      <c r="H16" s="3" t="s">
        <v>11</v>
      </c>
      <c r="I16" s="3">
        <f t="shared" si="1"/>
        <v>17000</v>
      </c>
    </row>
    <row r="17" spans="1:9" ht="22.5" customHeight="1" x14ac:dyDescent="0.25">
      <c r="A17" s="3" t="s">
        <v>36</v>
      </c>
      <c r="B17" s="4">
        <v>46162</v>
      </c>
      <c r="C17" s="3" t="s">
        <v>37</v>
      </c>
      <c r="D17" s="3" t="s">
        <v>21</v>
      </c>
      <c r="E17" s="3">
        <v>1</v>
      </c>
      <c r="F17" s="3">
        <v>62000</v>
      </c>
      <c r="G17" s="3">
        <f t="shared" si="0"/>
        <v>62000</v>
      </c>
      <c r="H17" s="3" t="s">
        <v>11</v>
      </c>
      <c r="I17" s="3">
        <f t="shared" si="1"/>
        <v>62000</v>
      </c>
    </row>
    <row r="18" spans="1:9" ht="22.5" customHeight="1" x14ac:dyDescent="0.25">
      <c r="A18" s="3" t="s">
        <v>38</v>
      </c>
      <c r="B18" s="4">
        <v>46201</v>
      </c>
      <c r="C18" s="3" t="s">
        <v>20</v>
      </c>
      <c r="D18" s="3" t="s">
        <v>21</v>
      </c>
      <c r="E18" s="3">
        <v>1</v>
      </c>
      <c r="F18" s="3">
        <v>185000</v>
      </c>
      <c r="G18" s="3">
        <f t="shared" si="0"/>
        <v>185000</v>
      </c>
      <c r="H18" s="3" t="s">
        <v>14</v>
      </c>
      <c r="I18" s="3">
        <f t="shared" si="1"/>
        <v>185000</v>
      </c>
    </row>
    <row r="19" spans="1:9" ht="22.5" customHeight="1" x14ac:dyDescent="0.25">
      <c r="A19" s="3" t="s">
        <v>39</v>
      </c>
      <c r="B19" s="4">
        <v>46265</v>
      </c>
      <c r="C19" s="3" t="s">
        <v>28</v>
      </c>
      <c r="D19" s="3" t="s">
        <v>10</v>
      </c>
      <c r="E19" s="3">
        <v>3</v>
      </c>
      <c r="F19" s="3">
        <v>4200</v>
      </c>
      <c r="G19" s="3">
        <f t="shared" si="0"/>
        <v>12600</v>
      </c>
      <c r="H19" s="3" t="s">
        <v>14</v>
      </c>
      <c r="I19" s="3">
        <f t="shared" si="1"/>
        <v>12600</v>
      </c>
    </row>
    <row r="20" spans="1:9" ht="22.5" customHeight="1" x14ac:dyDescent="0.25">
      <c r="A20" s="3" t="s">
        <v>40</v>
      </c>
      <c r="B20" s="4">
        <v>46155</v>
      </c>
      <c r="C20" s="3" t="s">
        <v>25</v>
      </c>
      <c r="D20" s="3" t="s">
        <v>10</v>
      </c>
      <c r="E20" s="3">
        <v>1</v>
      </c>
      <c r="F20" s="3">
        <v>9800</v>
      </c>
      <c r="G20" s="3">
        <f t="shared" si="0"/>
        <v>9800</v>
      </c>
      <c r="H20" s="3" t="s">
        <v>14</v>
      </c>
      <c r="I20" s="3">
        <f t="shared" si="1"/>
        <v>9800</v>
      </c>
    </row>
    <row r="21" spans="1:9" ht="22.5" customHeight="1" x14ac:dyDescent="0.25">
      <c r="A21" s="3" t="s">
        <v>41</v>
      </c>
      <c r="B21" s="4">
        <v>46271</v>
      </c>
      <c r="C21" s="3" t="s">
        <v>25</v>
      </c>
      <c r="D21" s="3" t="s">
        <v>10</v>
      </c>
      <c r="E21" s="3">
        <v>5</v>
      </c>
      <c r="F21" s="3">
        <v>9800</v>
      </c>
      <c r="G21" s="3">
        <f t="shared" si="0"/>
        <v>49000</v>
      </c>
      <c r="H21" s="3" t="s">
        <v>14</v>
      </c>
      <c r="I21" s="3">
        <f t="shared" si="1"/>
        <v>49000</v>
      </c>
    </row>
    <row r="22" spans="1:9" ht="22.5" customHeight="1" x14ac:dyDescent="0.25">
      <c r="A22" s="3" t="s">
        <v>42</v>
      </c>
      <c r="B22" s="4">
        <v>46093</v>
      </c>
      <c r="C22" s="3" t="s">
        <v>9</v>
      </c>
      <c r="D22" s="3" t="s">
        <v>10</v>
      </c>
      <c r="E22" s="3">
        <v>2</v>
      </c>
      <c r="F22" s="3">
        <v>12500</v>
      </c>
      <c r="G22" s="3">
        <f t="shared" si="0"/>
        <v>25000</v>
      </c>
      <c r="H22" s="3" t="s">
        <v>17</v>
      </c>
      <c r="I22" s="3">
        <f t="shared" si="1"/>
        <v>25000</v>
      </c>
    </row>
    <row r="23" spans="1:9" ht="22.5" customHeight="1" x14ac:dyDescent="0.25">
      <c r="A23" s="3" t="s">
        <v>43</v>
      </c>
      <c r="B23" s="4">
        <v>46223</v>
      </c>
      <c r="C23" s="3" t="s">
        <v>28</v>
      </c>
      <c r="D23" s="3" t="s">
        <v>10</v>
      </c>
      <c r="E23" s="3">
        <v>3</v>
      </c>
      <c r="F23" s="3">
        <v>4200</v>
      </c>
      <c r="G23" s="3">
        <f t="shared" si="0"/>
        <v>12600</v>
      </c>
      <c r="H23" s="3" t="s">
        <v>16</v>
      </c>
      <c r="I23" s="3">
        <f t="shared" si="1"/>
        <v>12600</v>
      </c>
    </row>
    <row r="24" spans="1:9" ht="22.5" customHeight="1" x14ac:dyDescent="0.25">
      <c r="A24" s="3" t="s">
        <v>44</v>
      </c>
      <c r="B24" s="4">
        <v>46100</v>
      </c>
      <c r="C24" s="3" t="s">
        <v>37</v>
      </c>
      <c r="D24" s="3" t="s">
        <v>21</v>
      </c>
      <c r="E24" s="3">
        <v>5</v>
      </c>
      <c r="F24" s="3">
        <v>62000</v>
      </c>
      <c r="G24" s="3">
        <f t="shared" si="0"/>
        <v>310000</v>
      </c>
      <c r="H24" s="3" t="s">
        <v>14</v>
      </c>
      <c r="I24" s="3">
        <f t="shared" si="1"/>
        <v>310000</v>
      </c>
    </row>
    <row r="25" spans="1:9" ht="22.5" customHeight="1" x14ac:dyDescent="0.25">
      <c r="A25" s="3" t="s">
        <v>45</v>
      </c>
      <c r="B25" s="4">
        <v>46179</v>
      </c>
      <c r="C25" s="3" t="s">
        <v>37</v>
      </c>
      <c r="D25" s="3" t="s">
        <v>21</v>
      </c>
      <c r="E25" s="3">
        <v>1</v>
      </c>
      <c r="F25" s="3">
        <v>62000</v>
      </c>
      <c r="G25" s="3">
        <f t="shared" si="0"/>
        <v>62000</v>
      </c>
      <c r="H25" s="3" t="s">
        <v>11</v>
      </c>
      <c r="I25" s="3">
        <f t="shared" si="1"/>
        <v>62000</v>
      </c>
    </row>
    <row r="26" spans="1:9" ht="22.5" customHeight="1" x14ac:dyDescent="0.25">
      <c r="A26" s="3" t="s">
        <v>46</v>
      </c>
      <c r="B26" s="4">
        <v>46237</v>
      </c>
      <c r="C26" s="3" t="s">
        <v>15</v>
      </c>
      <c r="D26" s="3" t="s">
        <v>10</v>
      </c>
      <c r="E26" s="3">
        <v>1</v>
      </c>
      <c r="F26" s="3">
        <v>8500</v>
      </c>
      <c r="G26" s="3">
        <f t="shared" si="0"/>
        <v>8500</v>
      </c>
      <c r="H26" s="3" t="s">
        <v>14</v>
      </c>
      <c r="I26" s="3">
        <f t="shared" si="1"/>
        <v>8500</v>
      </c>
    </row>
    <row r="27" spans="1:9" ht="22.5" customHeight="1" x14ac:dyDescent="0.25">
      <c r="A27" s="3" t="s">
        <v>47</v>
      </c>
      <c r="B27" s="4">
        <v>46151</v>
      </c>
      <c r="C27" s="3" t="s">
        <v>25</v>
      </c>
      <c r="D27" s="3" t="s">
        <v>10</v>
      </c>
      <c r="E27" s="3">
        <v>3</v>
      </c>
      <c r="F27" s="3">
        <v>9800</v>
      </c>
      <c r="G27" s="3">
        <f t="shared" si="0"/>
        <v>29400</v>
      </c>
      <c r="H27" s="3" t="s">
        <v>17</v>
      </c>
      <c r="I27" s="3">
        <f t="shared" si="1"/>
        <v>29400</v>
      </c>
    </row>
    <row r="28" spans="1:9" ht="22.5" customHeight="1" x14ac:dyDescent="0.25">
      <c r="A28" s="3" t="s">
        <v>48</v>
      </c>
      <c r="B28" s="4">
        <v>46066</v>
      </c>
      <c r="C28" s="3" t="s">
        <v>28</v>
      </c>
      <c r="D28" s="3" t="s">
        <v>10</v>
      </c>
      <c r="E28" s="3">
        <v>1</v>
      </c>
      <c r="F28" s="3">
        <v>4200</v>
      </c>
      <c r="G28" s="3">
        <f t="shared" si="0"/>
        <v>4200</v>
      </c>
      <c r="H28" s="3" t="s">
        <v>16</v>
      </c>
      <c r="I28" s="3">
        <f t="shared" si="1"/>
        <v>4200</v>
      </c>
    </row>
    <row r="29" spans="1:9" ht="22.5" customHeight="1" x14ac:dyDescent="0.25">
      <c r="A29" s="3" t="s">
        <v>49</v>
      </c>
      <c r="B29" s="4">
        <v>46158</v>
      </c>
      <c r="C29" s="3" t="s">
        <v>37</v>
      </c>
      <c r="D29" s="3" t="s">
        <v>21</v>
      </c>
      <c r="E29" s="3">
        <v>2</v>
      </c>
      <c r="F29" s="3">
        <v>62000</v>
      </c>
      <c r="G29" s="3">
        <f t="shared" si="0"/>
        <v>124000</v>
      </c>
      <c r="H29" s="3" t="s">
        <v>16</v>
      </c>
      <c r="I29" s="3">
        <f t="shared" si="1"/>
        <v>124000</v>
      </c>
    </row>
    <row r="30" spans="1:9" ht="22.5" customHeight="1" x14ac:dyDescent="0.25">
      <c r="A30" s="3" t="s">
        <v>50</v>
      </c>
      <c r="B30" s="4">
        <v>46272</v>
      </c>
      <c r="C30" s="3" t="s">
        <v>15</v>
      </c>
      <c r="D30" s="3" t="s">
        <v>10</v>
      </c>
      <c r="E30" s="3">
        <v>1</v>
      </c>
      <c r="F30" s="3">
        <v>8500</v>
      </c>
      <c r="G30" s="3">
        <f t="shared" si="0"/>
        <v>8500</v>
      </c>
      <c r="H30" s="3" t="s">
        <v>17</v>
      </c>
      <c r="I30" s="3">
        <f t="shared" si="1"/>
        <v>8500</v>
      </c>
    </row>
    <row r="31" spans="1:9" ht="22.5" customHeight="1" x14ac:dyDescent="0.25">
      <c r="A31" s="3" t="s">
        <v>51</v>
      </c>
      <c r="B31" s="4">
        <v>46231</v>
      </c>
      <c r="C31" s="3" t="s">
        <v>28</v>
      </c>
      <c r="D31" s="3" t="s">
        <v>10</v>
      </c>
      <c r="E31" s="3">
        <v>1</v>
      </c>
      <c r="F31" s="3">
        <v>4200</v>
      </c>
      <c r="G31" s="3">
        <f t="shared" si="0"/>
        <v>4200</v>
      </c>
      <c r="H31" s="3" t="s">
        <v>17</v>
      </c>
      <c r="I31" s="3">
        <f t="shared" si="1"/>
        <v>4200</v>
      </c>
    </row>
    <row r="32" spans="1:9" ht="22.5" customHeight="1" x14ac:dyDescent="0.25">
      <c r="A32" s="3" t="s">
        <v>52</v>
      </c>
      <c r="B32" s="4">
        <v>46134</v>
      </c>
      <c r="C32" s="3" t="s">
        <v>20</v>
      </c>
      <c r="D32" s="3" t="s">
        <v>21</v>
      </c>
      <c r="E32" s="3">
        <v>5</v>
      </c>
      <c r="F32" s="3">
        <v>185000</v>
      </c>
      <c r="G32" s="3">
        <f t="shared" si="0"/>
        <v>925000</v>
      </c>
      <c r="H32" s="3" t="s">
        <v>16</v>
      </c>
      <c r="I32" s="3">
        <f t="shared" si="1"/>
        <v>925000</v>
      </c>
    </row>
    <row r="33" spans="1:9" ht="22.5" customHeight="1" x14ac:dyDescent="0.25">
      <c r="A33" s="3" t="s">
        <v>53</v>
      </c>
      <c r="B33" s="4">
        <v>46119</v>
      </c>
      <c r="C33" s="3" t="s">
        <v>28</v>
      </c>
      <c r="D33" s="3" t="s">
        <v>10</v>
      </c>
      <c r="E33" s="3">
        <v>1</v>
      </c>
      <c r="F33" s="3">
        <v>4200</v>
      </c>
      <c r="G33" s="3">
        <f t="shared" si="0"/>
        <v>4200</v>
      </c>
      <c r="H33" s="3" t="s">
        <v>11</v>
      </c>
      <c r="I33" s="3">
        <f t="shared" si="1"/>
        <v>4200</v>
      </c>
    </row>
    <row r="34" spans="1:9" ht="22.5" customHeight="1" x14ac:dyDescent="0.25">
      <c r="A34" s="3" t="s">
        <v>54</v>
      </c>
      <c r="B34" s="4">
        <v>46288</v>
      </c>
      <c r="C34" s="3" t="s">
        <v>9</v>
      </c>
      <c r="D34" s="3" t="s">
        <v>10</v>
      </c>
      <c r="E34" s="3">
        <v>1</v>
      </c>
      <c r="F34" s="3">
        <v>12500</v>
      </c>
      <c r="G34" s="3">
        <f t="shared" si="0"/>
        <v>12500</v>
      </c>
      <c r="H34" s="3" t="s">
        <v>17</v>
      </c>
      <c r="I34" s="3">
        <f t="shared" si="1"/>
        <v>12500</v>
      </c>
    </row>
    <row r="35" spans="1:9" ht="22.5" customHeight="1" x14ac:dyDescent="0.25">
      <c r="A35" s="3" t="s">
        <v>55</v>
      </c>
      <c r="B35" s="4">
        <v>46191</v>
      </c>
      <c r="C35" s="3" t="s">
        <v>20</v>
      </c>
      <c r="D35" s="3" t="s">
        <v>21</v>
      </c>
      <c r="E35" s="3">
        <v>4</v>
      </c>
      <c r="F35" s="3">
        <v>185000</v>
      </c>
      <c r="G35" s="3">
        <f t="shared" si="0"/>
        <v>740000</v>
      </c>
      <c r="H35" s="3" t="s">
        <v>16</v>
      </c>
      <c r="I35" s="3">
        <f t="shared" si="1"/>
        <v>740000</v>
      </c>
    </row>
    <row r="36" spans="1:9" ht="22.5" customHeight="1" x14ac:dyDescent="0.25">
      <c r="A36" s="3" t="s">
        <v>56</v>
      </c>
      <c r="B36" s="4">
        <v>46183</v>
      </c>
      <c r="C36" s="3" t="s">
        <v>9</v>
      </c>
      <c r="D36" s="3" t="s">
        <v>10</v>
      </c>
      <c r="E36" s="3">
        <v>1</v>
      </c>
      <c r="F36" s="3">
        <v>12500</v>
      </c>
      <c r="G36" s="3">
        <f t="shared" si="0"/>
        <v>12500</v>
      </c>
      <c r="H36" s="3" t="s">
        <v>11</v>
      </c>
      <c r="I36" s="3">
        <f t="shared" si="1"/>
        <v>12500</v>
      </c>
    </row>
    <row r="37" spans="1:9" ht="22.5" customHeight="1" x14ac:dyDescent="0.25">
      <c r="A37" s="3" t="s">
        <v>57</v>
      </c>
      <c r="B37" s="4">
        <v>46131</v>
      </c>
      <c r="C37" s="3" t="s">
        <v>37</v>
      </c>
      <c r="D37" s="3" t="s">
        <v>21</v>
      </c>
      <c r="E37" s="3">
        <v>5</v>
      </c>
      <c r="F37" s="3">
        <v>62000</v>
      </c>
      <c r="G37" s="3">
        <f t="shared" si="0"/>
        <v>310000</v>
      </c>
      <c r="H37" s="3" t="s">
        <v>11</v>
      </c>
      <c r="I37" s="3">
        <f t="shared" si="1"/>
        <v>310000</v>
      </c>
    </row>
    <row r="38" spans="1:9" ht="22.5" customHeight="1" x14ac:dyDescent="0.25">
      <c r="A38" s="3" t="s">
        <v>58</v>
      </c>
      <c r="B38" s="4">
        <v>46070</v>
      </c>
      <c r="C38" s="3" t="s">
        <v>28</v>
      </c>
      <c r="D38" s="3" t="s">
        <v>10</v>
      </c>
      <c r="E38" s="3">
        <v>1</v>
      </c>
      <c r="F38" s="3">
        <v>4200</v>
      </c>
      <c r="G38" s="3">
        <f t="shared" si="0"/>
        <v>4200</v>
      </c>
      <c r="H38" s="3" t="s">
        <v>14</v>
      </c>
      <c r="I38" s="3">
        <f t="shared" si="1"/>
        <v>4200</v>
      </c>
    </row>
    <row r="39" spans="1:9" ht="22.5" customHeight="1" x14ac:dyDescent="0.25">
      <c r="A39" s="3" t="s">
        <v>59</v>
      </c>
      <c r="B39" s="4">
        <v>46114</v>
      </c>
      <c r="C39" s="3" t="s">
        <v>9</v>
      </c>
      <c r="D39" s="3" t="s">
        <v>10</v>
      </c>
      <c r="E39" s="3">
        <v>1</v>
      </c>
      <c r="F39" s="3">
        <v>12500</v>
      </c>
      <c r="G39" s="3">
        <f t="shared" si="0"/>
        <v>12500</v>
      </c>
      <c r="H39" s="3" t="s">
        <v>17</v>
      </c>
      <c r="I39" s="3">
        <f t="shared" si="1"/>
        <v>12500</v>
      </c>
    </row>
    <row r="40" spans="1:9" ht="22.5" customHeight="1" x14ac:dyDescent="0.25">
      <c r="A40" s="3" t="s">
        <v>60</v>
      </c>
      <c r="B40" s="4">
        <v>46281</v>
      </c>
      <c r="C40" s="3" t="s">
        <v>28</v>
      </c>
      <c r="D40" s="3" t="s">
        <v>10</v>
      </c>
      <c r="E40" s="3">
        <v>1</v>
      </c>
      <c r="F40" s="3">
        <v>4200</v>
      </c>
      <c r="G40" s="3">
        <f t="shared" si="0"/>
        <v>4200</v>
      </c>
      <c r="H40" s="3" t="s">
        <v>16</v>
      </c>
      <c r="I40" s="3">
        <f t="shared" si="1"/>
        <v>4200</v>
      </c>
    </row>
    <row r="41" spans="1:9" ht="22.5" customHeight="1" x14ac:dyDescent="0.25">
      <c r="A41" s="3" t="s">
        <v>61</v>
      </c>
      <c r="B41" s="4">
        <v>46254</v>
      </c>
      <c r="C41" s="3" t="s">
        <v>9</v>
      </c>
      <c r="D41" s="3" t="s">
        <v>10</v>
      </c>
      <c r="E41" s="3">
        <v>2</v>
      </c>
      <c r="F41" s="3">
        <v>12500</v>
      </c>
      <c r="G41" s="3">
        <f t="shared" si="0"/>
        <v>25000</v>
      </c>
      <c r="H41" s="3" t="s">
        <v>14</v>
      </c>
      <c r="I41" s="3">
        <f t="shared" si="1"/>
        <v>25000</v>
      </c>
    </row>
    <row r="42" spans="1:9" ht="22.5" customHeight="1" x14ac:dyDescent="0.25">
      <c r="A42" s="3" t="s">
        <v>62</v>
      </c>
      <c r="B42" s="4">
        <v>46027</v>
      </c>
      <c r="C42" s="3" t="s">
        <v>15</v>
      </c>
      <c r="D42" s="3" t="s">
        <v>10</v>
      </c>
      <c r="E42" s="3">
        <v>1</v>
      </c>
      <c r="F42" s="3">
        <v>8500</v>
      </c>
      <c r="G42" s="3">
        <f t="shared" si="0"/>
        <v>8500</v>
      </c>
      <c r="H42" s="3" t="s">
        <v>17</v>
      </c>
      <c r="I42" s="3">
        <f t="shared" si="1"/>
        <v>8500</v>
      </c>
    </row>
    <row r="43" spans="1:9" ht="22.5" customHeight="1" x14ac:dyDescent="0.25">
      <c r="A43" s="3" t="s">
        <v>63</v>
      </c>
      <c r="B43" s="4">
        <v>46131</v>
      </c>
      <c r="C43" s="3" t="s">
        <v>15</v>
      </c>
      <c r="D43" s="3" t="s">
        <v>10</v>
      </c>
      <c r="E43" s="3">
        <v>3</v>
      </c>
      <c r="F43" s="3">
        <v>8500</v>
      </c>
      <c r="G43" s="3">
        <f t="shared" si="0"/>
        <v>25500</v>
      </c>
      <c r="H43" s="3" t="s">
        <v>14</v>
      </c>
      <c r="I43" s="3">
        <f t="shared" si="1"/>
        <v>25500</v>
      </c>
    </row>
    <row r="44" spans="1:9" ht="22.5" customHeight="1" x14ac:dyDescent="0.25">
      <c r="A44" s="3" t="s">
        <v>64</v>
      </c>
      <c r="B44" s="4">
        <v>46030</v>
      </c>
      <c r="C44" s="3" t="s">
        <v>15</v>
      </c>
      <c r="D44" s="3" t="s">
        <v>10</v>
      </c>
      <c r="E44" s="3">
        <v>1</v>
      </c>
      <c r="F44" s="3">
        <v>8500</v>
      </c>
      <c r="G44" s="3">
        <f t="shared" si="0"/>
        <v>8500</v>
      </c>
      <c r="H44" s="3" t="s">
        <v>14</v>
      </c>
      <c r="I44" s="3">
        <f t="shared" si="1"/>
        <v>8500</v>
      </c>
    </row>
    <row r="45" spans="1:9" ht="22.5" customHeight="1" x14ac:dyDescent="0.25">
      <c r="A45" s="3" t="s">
        <v>65</v>
      </c>
      <c r="B45" s="4">
        <v>46177</v>
      </c>
      <c r="C45" s="3" t="s">
        <v>20</v>
      </c>
      <c r="D45" s="3" t="s">
        <v>21</v>
      </c>
      <c r="E45" s="3">
        <v>2</v>
      </c>
      <c r="F45" s="3">
        <v>185000</v>
      </c>
      <c r="G45" s="3">
        <f t="shared" si="0"/>
        <v>370000</v>
      </c>
      <c r="H45" s="3" t="s">
        <v>16</v>
      </c>
      <c r="I45" s="3">
        <f t="shared" si="1"/>
        <v>370000</v>
      </c>
    </row>
    <row r="46" spans="1:9" ht="22.5" customHeight="1" x14ac:dyDescent="0.25">
      <c r="A46" s="3" t="s">
        <v>66</v>
      </c>
      <c r="B46" s="4">
        <v>46036</v>
      </c>
      <c r="C46" s="3" t="s">
        <v>20</v>
      </c>
      <c r="D46" s="3" t="s">
        <v>21</v>
      </c>
      <c r="E46" s="3">
        <v>3</v>
      </c>
      <c r="F46" s="3">
        <v>185000</v>
      </c>
      <c r="G46" s="3">
        <f t="shared" si="0"/>
        <v>555000</v>
      </c>
      <c r="H46" s="3" t="s">
        <v>17</v>
      </c>
      <c r="I46" s="3">
        <f t="shared" si="1"/>
        <v>555000</v>
      </c>
    </row>
    <row r="47" spans="1:9" ht="22.5" customHeight="1" x14ac:dyDescent="0.25">
      <c r="A47" s="3" t="s">
        <v>67</v>
      </c>
      <c r="B47" s="4">
        <v>46136</v>
      </c>
      <c r="C47" s="3" t="s">
        <v>9</v>
      </c>
      <c r="D47" s="3" t="s">
        <v>10</v>
      </c>
      <c r="E47" s="3">
        <v>3</v>
      </c>
      <c r="F47" s="3">
        <v>12500</v>
      </c>
      <c r="G47" s="3">
        <f t="shared" si="0"/>
        <v>37500</v>
      </c>
      <c r="H47" s="3" t="s">
        <v>14</v>
      </c>
      <c r="I47" s="3">
        <f t="shared" si="1"/>
        <v>37500</v>
      </c>
    </row>
    <row r="48" spans="1:9" ht="22.5" customHeight="1" x14ac:dyDescent="0.25">
      <c r="A48" s="3" t="s">
        <v>68</v>
      </c>
      <c r="B48" s="4">
        <v>46242</v>
      </c>
      <c r="C48" s="3" t="s">
        <v>28</v>
      </c>
      <c r="D48" s="3" t="s">
        <v>10</v>
      </c>
      <c r="E48" s="3">
        <v>3</v>
      </c>
      <c r="F48" s="3">
        <v>4200</v>
      </c>
      <c r="G48" s="3">
        <f t="shared" si="0"/>
        <v>12600</v>
      </c>
      <c r="H48" s="3" t="s">
        <v>14</v>
      </c>
      <c r="I48" s="3">
        <f t="shared" si="1"/>
        <v>12600</v>
      </c>
    </row>
    <row r="49" spans="1:9" ht="22.5" customHeight="1" x14ac:dyDescent="0.25">
      <c r="A49" s="3" t="s">
        <v>69</v>
      </c>
      <c r="B49" s="4">
        <v>46119</v>
      </c>
      <c r="C49" s="3" t="s">
        <v>25</v>
      </c>
      <c r="D49" s="3" t="s">
        <v>10</v>
      </c>
      <c r="E49" s="3">
        <v>2</v>
      </c>
      <c r="F49" s="3">
        <v>9800</v>
      </c>
      <c r="G49" s="3">
        <f t="shared" si="0"/>
        <v>19600</v>
      </c>
      <c r="H49" s="3" t="s">
        <v>11</v>
      </c>
      <c r="I49" s="3">
        <f t="shared" si="1"/>
        <v>19600</v>
      </c>
    </row>
    <row r="50" spans="1:9" ht="22.5" customHeight="1" x14ac:dyDescent="0.25">
      <c r="A50" s="3" t="s">
        <v>71</v>
      </c>
      <c r="B50" s="4">
        <v>46236</v>
      </c>
      <c r="C50" s="3" t="s">
        <v>15</v>
      </c>
      <c r="D50" s="3" t="s">
        <v>10</v>
      </c>
      <c r="E50" s="3">
        <v>1</v>
      </c>
      <c r="F50" s="3">
        <v>8500</v>
      </c>
      <c r="G50" s="3">
        <f t="shared" si="0"/>
        <v>8500</v>
      </c>
      <c r="H50" s="3" t="s">
        <v>17</v>
      </c>
      <c r="I50" s="3">
        <f t="shared" si="1"/>
        <v>8500</v>
      </c>
    </row>
    <row r="51" spans="1:9" ht="22.5" customHeight="1" x14ac:dyDescent="0.25">
      <c r="A51" s="3" t="s">
        <v>75</v>
      </c>
      <c r="B51" s="4">
        <v>46196</v>
      </c>
      <c r="C51" s="3" t="s">
        <v>20</v>
      </c>
      <c r="D51" s="3" t="s">
        <v>21</v>
      </c>
      <c r="E51" s="3">
        <v>2</v>
      </c>
      <c r="F51" s="3">
        <v>185000</v>
      </c>
      <c r="G51" s="3">
        <f t="shared" si="0"/>
        <v>370000</v>
      </c>
      <c r="H51" s="3" t="s">
        <v>14</v>
      </c>
      <c r="I51" s="3">
        <f t="shared" si="1"/>
        <v>370000</v>
      </c>
    </row>
    <row r="52" spans="1:9" ht="22.5" customHeight="1" x14ac:dyDescent="0.25">
      <c r="A52" s="3" t="s">
        <v>77</v>
      </c>
      <c r="B52" s="4">
        <v>46040</v>
      </c>
      <c r="C52" s="3" t="s">
        <v>25</v>
      </c>
      <c r="D52" s="3" t="s">
        <v>10</v>
      </c>
      <c r="E52" s="3">
        <v>3</v>
      </c>
      <c r="F52" s="3">
        <v>9800</v>
      </c>
      <c r="G52" s="3">
        <f t="shared" si="0"/>
        <v>29400</v>
      </c>
      <c r="H52" s="3" t="s">
        <v>11</v>
      </c>
      <c r="I52" s="3">
        <f t="shared" si="1"/>
        <v>29400</v>
      </c>
    </row>
    <row r="53" spans="1:9" ht="22.5" customHeight="1" x14ac:dyDescent="0.25">
      <c r="A53" s="3" t="s">
        <v>78</v>
      </c>
      <c r="B53" s="4">
        <v>46194</v>
      </c>
      <c r="C53" s="3" t="s">
        <v>15</v>
      </c>
      <c r="D53" s="3" t="s">
        <v>10</v>
      </c>
      <c r="E53" s="3">
        <v>1</v>
      </c>
      <c r="F53" s="3">
        <v>8500</v>
      </c>
      <c r="G53" s="3">
        <f t="shared" si="0"/>
        <v>8500</v>
      </c>
      <c r="H53" s="3" t="s">
        <v>16</v>
      </c>
      <c r="I53" s="3">
        <f t="shared" si="1"/>
        <v>8500</v>
      </c>
    </row>
    <row r="54" spans="1:9" ht="22.5" customHeight="1" x14ac:dyDescent="0.25">
      <c r="A54" s="3" t="s">
        <v>79</v>
      </c>
      <c r="B54" s="4">
        <v>46276</v>
      </c>
      <c r="C54" s="3" t="s">
        <v>9</v>
      </c>
      <c r="D54" s="3" t="s">
        <v>10</v>
      </c>
      <c r="E54" s="3">
        <v>3</v>
      </c>
      <c r="F54" s="3">
        <v>12500</v>
      </c>
      <c r="G54" s="3">
        <f t="shared" si="0"/>
        <v>37500</v>
      </c>
      <c r="H54" s="3" t="s">
        <v>11</v>
      </c>
      <c r="I54" s="3">
        <f t="shared" si="1"/>
        <v>37500</v>
      </c>
    </row>
    <row r="55" spans="1:9" ht="22.5" customHeight="1" x14ac:dyDescent="0.25">
      <c r="A55" s="3" t="s">
        <v>80</v>
      </c>
      <c r="B55" s="4">
        <v>46150</v>
      </c>
      <c r="C55" s="3" t="s">
        <v>28</v>
      </c>
      <c r="D55" s="3" t="s">
        <v>10</v>
      </c>
      <c r="E55" s="3">
        <v>1</v>
      </c>
      <c r="F55" s="3">
        <v>4200</v>
      </c>
      <c r="G55" s="3">
        <f t="shared" si="0"/>
        <v>4200</v>
      </c>
      <c r="H55" s="3" t="s">
        <v>14</v>
      </c>
      <c r="I55" s="3">
        <f t="shared" si="1"/>
        <v>4200</v>
      </c>
    </row>
    <row r="56" spans="1:9" ht="22.5" customHeight="1" x14ac:dyDescent="0.25">
      <c r="A56" s="3" t="s">
        <v>81</v>
      </c>
      <c r="B56" s="4">
        <v>46125</v>
      </c>
      <c r="C56" s="3" t="s">
        <v>25</v>
      </c>
      <c r="D56" s="3" t="s">
        <v>10</v>
      </c>
      <c r="E56" s="3">
        <v>1</v>
      </c>
      <c r="F56" s="3">
        <v>9800</v>
      </c>
      <c r="G56" s="3">
        <f t="shared" si="0"/>
        <v>9800</v>
      </c>
      <c r="H56" s="3" t="s">
        <v>17</v>
      </c>
      <c r="I56" s="3">
        <f t="shared" si="1"/>
        <v>9800</v>
      </c>
    </row>
    <row r="57" spans="1:9" ht="22.5" customHeight="1" x14ac:dyDescent="0.25">
      <c r="A57" s="3" t="s">
        <v>82</v>
      </c>
      <c r="B57" s="4">
        <v>46281</v>
      </c>
      <c r="C57" s="3" t="s">
        <v>15</v>
      </c>
      <c r="D57" s="3" t="s">
        <v>10</v>
      </c>
      <c r="E57" s="3">
        <v>1</v>
      </c>
      <c r="F57" s="3">
        <v>8500</v>
      </c>
      <c r="G57" s="3">
        <f t="shared" si="0"/>
        <v>8500</v>
      </c>
      <c r="H57" s="3" t="s">
        <v>16</v>
      </c>
      <c r="I57" s="3">
        <f t="shared" si="1"/>
        <v>8500</v>
      </c>
    </row>
    <row r="58" spans="1:9" ht="22.5" customHeight="1" x14ac:dyDescent="0.25">
      <c r="A58" s="3" t="s">
        <v>83</v>
      </c>
      <c r="B58" s="4">
        <v>46247</v>
      </c>
      <c r="C58" s="3" t="s">
        <v>15</v>
      </c>
      <c r="D58" s="3" t="s">
        <v>10</v>
      </c>
      <c r="E58" s="3">
        <v>1</v>
      </c>
      <c r="F58" s="3">
        <v>8500</v>
      </c>
      <c r="G58" s="3">
        <f t="shared" si="0"/>
        <v>8500</v>
      </c>
      <c r="H58" s="3" t="s">
        <v>17</v>
      </c>
      <c r="I58" s="3">
        <f t="shared" si="1"/>
        <v>8500</v>
      </c>
    </row>
    <row r="59" spans="1:9" ht="22.5" customHeight="1" x14ac:dyDescent="0.25">
      <c r="A59" s="3" t="s">
        <v>84</v>
      </c>
      <c r="B59" s="4">
        <v>46101</v>
      </c>
      <c r="C59" s="3" t="s">
        <v>9</v>
      </c>
      <c r="D59" s="3" t="s">
        <v>10</v>
      </c>
      <c r="E59" s="3">
        <v>2</v>
      </c>
      <c r="F59" s="3">
        <v>12500</v>
      </c>
      <c r="G59" s="3">
        <f t="shared" si="0"/>
        <v>25000</v>
      </c>
      <c r="H59" s="3" t="s">
        <v>16</v>
      </c>
      <c r="I59" s="3">
        <f t="shared" si="1"/>
        <v>25000</v>
      </c>
    </row>
    <row r="60" spans="1:9" ht="22.5" customHeight="1" x14ac:dyDescent="0.25">
      <c r="A60" s="3" t="s">
        <v>85</v>
      </c>
      <c r="B60" s="4">
        <v>46185</v>
      </c>
      <c r="C60" s="3" t="s">
        <v>37</v>
      </c>
      <c r="D60" s="3" t="s">
        <v>21</v>
      </c>
      <c r="E60" s="3">
        <v>2</v>
      </c>
      <c r="F60" s="3">
        <v>62000</v>
      </c>
      <c r="G60" s="3">
        <f t="shared" si="0"/>
        <v>124000</v>
      </c>
      <c r="H60" s="3" t="s">
        <v>17</v>
      </c>
      <c r="I60" s="3">
        <f t="shared" si="1"/>
        <v>124000</v>
      </c>
    </row>
    <row r="61" spans="1:9" ht="22.5" customHeight="1" x14ac:dyDescent="0.25">
      <c r="A61" s="3" t="s">
        <v>86</v>
      </c>
      <c r="B61" s="4">
        <v>46231</v>
      </c>
      <c r="C61" s="3" t="s">
        <v>15</v>
      </c>
      <c r="D61" s="3" t="s">
        <v>10</v>
      </c>
      <c r="E61" s="3">
        <v>5</v>
      </c>
      <c r="F61" s="3">
        <v>8500</v>
      </c>
      <c r="G61" s="3">
        <f t="shared" si="0"/>
        <v>42500</v>
      </c>
      <c r="H61" s="3" t="s">
        <v>14</v>
      </c>
      <c r="I61" s="3">
        <f t="shared" si="1"/>
        <v>42500</v>
      </c>
    </row>
    <row r="62" spans="1:9" ht="22.5" customHeight="1" x14ac:dyDescent="0.25">
      <c r="A62" s="3" t="s">
        <v>87</v>
      </c>
      <c r="B62" s="4">
        <v>46100</v>
      </c>
      <c r="C62" s="3" t="s">
        <v>9</v>
      </c>
      <c r="D62" s="3" t="s">
        <v>10</v>
      </c>
      <c r="E62" s="3">
        <v>1</v>
      </c>
      <c r="F62" s="3">
        <v>12500</v>
      </c>
      <c r="G62" s="3">
        <f t="shared" si="0"/>
        <v>12500</v>
      </c>
      <c r="H62" s="3" t="s">
        <v>16</v>
      </c>
      <c r="I62" s="3">
        <f t="shared" si="1"/>
        <v>12500</v>
      </c>
    </row>
    <row r="63" spans="1:9" ht="22.5" customHeight="1" x14ac:dyDescent="0.25">
      <c r="A63" s="3" t="s">
        <v>88</v>
      </c>
      <c r="B63" s="4">
        <v>46249</v>
      </c>
      <c r="C63" s="3" t="s">
        <v>28</v>
      </c>
      <c r="D63" s="3" t="s">
        <v>10</v>
      </c>
      <c r="E63" s="3">
        <v>2</v>
      </c>
      <c r="F63" s="3">
        <v>4200</v>
      </c>
      <c r="G63" s="3">
        <f t="shared" si="0"/>
        <v>8400</v>
      </c>
      <c r="H63" s="3" t="s">
        <v>16</v>
      </c>
      <c r="I63" s="3">
        <f t="shared" si="1"/>
        <v>8400</v>
      </c>
    </row>
    <row r="64" spans="1:9" ht="22.5" customHeight="1" x14ac:dyDescent="0.25">
      <c r="A64" s="3" t="s">
        <v>89</v>
      </c>
      <c r="B64" s="4">
        <v>46276</v>
      </c>
      <c r="C64" s="3" t="s">
        <v>15</v>
      </c>
      <c r="D64" s="3" t="s">
        <v>10</v>
      </c>
      <c r="E64" s="3">
        <v>4</v>
      </c>
      <c r="F64" s="3">
        <v>8500</v>
      </c>
      <c r="G64" s="3">
        <f t="shared" si="0"/>
        <v>34000</v>
      </c>
      <c r="H64" s="3" t="s">
        <v>11</v>
      </c>
      <c r="I64" s="3">
        <f t="shared" si="1"/>
        <v>34000</v>
      </c>
    </row>
    <row r="65" spans="1:9" ht="22.5" customHeight="1" x14ac:dyDescent="0.25">
      <c r="A65" s="3" t="s">
        <v>90</v>
      </c>
      <c r="B65" s="4">
        <v>46026</v>
      </c>
      <c r="C65" s="3" t="s">
        <v>9</v>
      </c>
      <c r="D65" s="3" t="s">
        <v>10</v>
      </c>
      <c r="E65" s="3">
        <v>1</v>
      </c>
      <c r="F65" s="3">
        <v>12500</v>
      </c>
      <c r="G65" s="3">
        <f t="shared" si="0"/>
        <v>12500</v>
      </c>
      <c r="H65" s="3" t="s">
        <v>14</v>
      </c>
      <c r="I65" s="3">
        <f t="shared" si="1"/>
        <v>12500</v>
      </c>
    </row>
    <row r="66" spans="1:9" ht="22.5" customHeight="1" x14ac:dyDescent="0.25">
      <c r="A66" s="3" t="s">
        <v>91</v>
      </c>
      <c r="B66" s="4">
        <v>46243</v>
      </c>
      <c r="C66" s="3" t="s">
        <v>15</v>
      </c>
      <c r="D66" s="3" t="s">
        <v>10</v>
      </c>
      <c r="E66" s="3">
        <v>2</v>
      </c>
      <c r="F66" s="3">
        <v>8500</v>
      </c>
      <c r="G66" s="3">
        <f t="shared" si="0"/>
        <v>17000</v>
      </c>
      <c r="H66" s="3" t="s">
        <v>14</v>
      </c>
      <c r="I66" s="3">
        <f t="shared" si="1"/>
        <v>17000</v>
      </c>
    </row>
    <row r="67" spans="1:9" ht="22.5" customHeight="1" x14ac:dyDescent="0.25">
      <c r="A67" s="3" t="s">
        <v>92</v>
      </c>
      <c r="B67" s="4">
        <v>46110</v>
      </c>
      <c r="C67" s="3" t="s">
        <v>9</v>
      </c>
      <c r="D67" s="3" t="s">
        <v>10</v>
      </c>
      <c r="E67" s="3">
        <v>1</v>
      </c>
      <c r="F67" s="3">
        <v>12500</v>
      </c>
      <c r="G67" s="3">
        <f t="shared" si="0"/>
        <v>12500</v>
      </c>
      <c r="H67" s="3" t="s">
        <v>14</v>
      </c>
      <c r="I67" s="3">
        <f t="shared" si="1"/>
        <v>12500</v>
      </c>
    </row>
    <row r="68" spans="1:9" ht="22.5" customHeight="1" x14ac:dyDescent="0.25">
      <c r="A68" s="3" t="s">
        <v>94</v>
      </c>
      <c r="B68" s="4">
        <v>46196</v>
      </c>
      <c r="C68" s="3" t="s">
        <v>15</v>
      </c>
      <c r="D68" s="3" t="s">
        <v>10</v>
      </c>
      <c r="E68" s="3">
        <v>1</v>
      </c>
      <c r="F68" s="3">
        <v>8500</v>
      </c>
      <c r="G68" s="3">
        <f t="shared" si="0"/>
        <v>8500</v>
      </c>
      <c r="H68" s="3" t="s">
        <v>17</v>
      </c>
      <c r="I68" s="3">
        <f t="shared" si="1"/>
        <v>8500</v>
      </c>
    </row>
    <row r="69" spans="1:9" ht="22.5" customHeight="1" x14ac:dyDescent="0.25">
      <c r="A69" s="3" t="s">
        <v>97</v>
      </c>
      <c r="B69" s="4">
        <v>46099</v>
      </c>
      <c r="C69" s="3" t="s">
        <v>15</v>
      </c>
      <c r="D69" s="3" t="s">
        <v>10</v>
      </c>
      <c r="E69" s="3">
        <v>1</v>
      </c>
      <c r="F69" s="3">
        <v>8500</v>
      </c>
      <c r="G69" s="3">
        <f t="shared" si="0"/>
        <v>8500</v>
      </c>
      <c r="H69" s="3" t="s">
        <v>11</v>
      </c>
      <c r="I69" s="3">
        <f t="shared" si="1"/>
        <v>8500</v>
      </c>
    </row>
    <row r="70" spans="1:9" ht="22.5" customHeight="1" x14ac:dyDescent="0.25">
      <c r="A70" s="3" t="s">
        <v>98</v>
      </c>
      <c r="B70" s="4">
        <v>46189</v>
      </c>
      <c r="C70" s="3" t="s">
        <v>15</v>
      </c>
      <c r="D70" s="3" t="s">
        <v>10</v>
      </c>
      <c r="E70" s="3">
        <v>1</v>
      </c>
      <c r="F70" s="3">
        <v>8500</v>
      </c>
      <c r="G70" s="3">
        <f t="shared" si="0"/>
        <v>8500</v>
      </c>
      <c r="H70" s="3" t="s">
        <v>16</v>
      </c>
      <c r="I70" s="3">
        <f t="shared" si="1"/>
        <v>8500</v>
      </c>
    </row>
    <row r="71" spans="1:9" ht="22.5" customHeight="1" x14ac:dyDescent="0.25">
      <c r="A71" s="3" t="s">
        <v>100</v>
      </c>
      <c r="B71" s="4">
        <v>46154</v>
      </c>
      <c r="C71" s="3" t="s">
        <v>28</v>
      </c>
      <c r="D71" s="3" t="s">
        <v>10</v>
      </c>
      <c r="E71" s="3">
        <v>1</v>
      </c>
      <c r="F71" s="3">
        <v>4200</v>
      </c>
      <c r="G71" s="3">
        <f t="shared" si="0"/>
        <v>4200</v>
      </c>
      <c r="H71" s="3" t="s">
        <v>16</v>
      </c>
      <c r="I71" s="3">
        <f t="shared" si="1"/>
        <v>4200</v>
      </c>
    </row>
    <row r="72" spans="1:9" ht="22.5" customHeight="1" x14ac:dyDescent="0.25">
      <c r="A72" s="3" t="s">
        <v>102</v>
      </c>
      <c r="B72" s="4">
        <v>46212</v>
      </c>
      <c r="C72" s="3" t="s">
        <v>37</v>
      </c>
      <c r="D72" s="3" t="s">
        <v>21</v>
      </c>
      <c r="E72" s="3">
        <v>1</v>
      </c>
      <c r="F72" s="3">
        <v>62000</v>
      </c>
      <c r="G72" s="3">
        <f t="shared" si="0"/>
        <v>62000</v>
      </c>
      <c r="H72" s="3" t="s">
        <v>17</v>
      </c>
      <c r="I72" s="3">
        <f t="shared" si="1"/>
        <v>62000</v>
      </c>
    </row>
    <row r="73" spans="1:9" ht="22.5" customHeight="1" x14ac:dyDescent="0.25">
      <c r="A73" s="3" t="s">
        <v>103</v>
      </c>
      <c r="B73" s="4">
        <v>46063</v>
      </c>
      <c r="C73" s="3" t="s">
        <v>28</v>
      </c>
      <c r="D73" s="3" t="s">
        <v>10</v>
      </c>
      <c r="E73" s="3">
        <v>1</v>
      </c>
      <c r="F73" s="3">
        <v>4200</v>
      </c>
      <c r="G73" s="3">
        <f t="shared" si="0"/>
        <v>4200</v>
      </c>
      <c r="H73" s="3" t="s">
        <v>11</v>
      </c>
      <c r="I73" s="3">
        <f t="shared" si="1"/>
        <v>4200</v>
      </c>
    </row>
    <row r="74" spans="1:9" ht="22.5" customHeight="1" x14ac:dyDescent="0.25">
      <c r="A74" s="3" t="s">
        <v>105</v>
      </c>
      <c r="B74" s="4">
        <v>46127</v>
      </c>
      <c r="C74" s="3" t="s">
        <v>28</v>
      </c>
      <c r="D74" s="3" t="s">
        <v>10</v>
      </c>
      <c r="E74" s="3">
        <v>5</v>
      </c>
      <c r="F74" s="3">
        <v>4200</v>
      </c>
      <c r="G74" s="3">
        <f t="shared" si="0"/>
        <v>21000</v>
      </c>
      <c r="H74" s="3" t="s">
        <v>11</v>
      </c>
      <c r="I74" s="3">
        <f t="shared" si="1"/>
        <v>21000</v>
      </c>
    </row>
    <row r="75" spans="1:9" ht="22.5" customHeight="1" x14ac:dyDescent="0.25">
      <c r="A75" s="3" t="s">
        <v>107</v>
      </c>
      <c r="B75" s="4">
        <v>46053</v>
      </c>
      <c r="C75" s="3" t="s">
        <v>20</v>
      </c>
      <c r="D75" s="3" t="s">
        <v>21</v>
      </c>
      <c r="E75" s="3">
        <v>1</v>
      </c>
      <c r="F75" s="3">
        <v>185000</v>
      </c>
      <c r="G75" s="3">
        <f t="shared" si="0"/>
        <v>185000</v>
      </c>
      <c r="H75" s="3" t="s">
        <v>11</v>
      </c>
      <c r="I75" s="3">
        <f t="shared" si="1"/>
        <v>185000</v>
      </c>
    </row>
    <row r="76" spans="1:9" ht="22.5" customHeight="1" x14ac:dyDescent="0.25">
      <c r="A76" s="3" t="s">
        <v>108</v>
      </c>
      <c r="B76" s="4">
        <v>46229</v>
      </c>
      <c r="C76" s="3" t="s">
        <v>25</v>
      </c>
      <c r="D76" s="3" t="s">
        <v>10</v>
      </c>
      <c r="E76" s="3">
        <v>2</v>
      </c>
      <c r="F76" s="3">
        <v>9800</v>
      </c>
      <c r="G76" s="3">
        <f t="shared" si="0"/>
        <v>19600</v>
      </c>
      <c r="H76" s="3" t="s">
        <v>17</v>
      </c>
      <c r="I76" s="3">
        <f t="shared" si="1"/>
        <v>19600</v>
      </c>
    </row>
    <row r="77" spans="1:9" ht="22.5" customHeight="1" x14ac:dyDescent="0.25">
      <c r="A77" s="3" t="s">
        <v>109</v>
      </c>
      <c r="B77" s="4">
        <v>46177</v>
      </c>
      <c r="C77" s="3" t="s">
        <v>9</v>
      </c>
      <c r="D77" s="3" t="s">
        <v>10</v>
      </c>
      <c r="E77" s="3">
        <v>1</v>
      </c>
      <c r="F77" s="3">
        <v>12500</v>
      </c>
      <c r="G77" s="3">
        <f t="shared" si="0"/>
        <v>12500</v>
      </c>
      <c r="H77" s="3" t="s">
        <v>17</v>
      </c>
      <c r="I77" s="3">
        <f t="shared" si="1"/>
        <v>12500</v>
      </c>
    </row>
    <row r="78" spans="1:9" ht="22.5" customHeight="1" x14ac:dyDescent="0.25">
      <c r="A78" s="3" t="s">
        <v>110</v>
      </c>
      <c r="B78" s="4">
        <v>46132</v>
      </c>
      <c r="C78" s="3" t="s">
        <v>37</v>
      </c>
      <c r="D78" s="3" t="s">
        <v>21</v>
      </c>
      <c r="E78" s="3">
        <v>3</v>
      </c>
      <c r="F78" s="3">
        <v>62000</v>
      </c>
      <c r="G78" s="3">
        <f t="shared" si="0"/>
        <v>186000</v>
      </c>
      <c r="H78" s="3" t="s">
        <v>16</v>
      </c>
      <c r="I78" s="3">
        <f t="shared" si="1"/>
        <v>186000</v>
      </c>
    </row>
    <row r="79" spans="1:9" ht="22.5" customHeight="1" x14ac:dyDescent="0.25">
      <c r="A79" s="3" t="s">
        <v>111</v>
      </c>
      <c r="B79" s="4">
        <v>46123</v>
      </c>
      <c r="C79" s="3" t="s">
        <v>37</v>
      </c>
      <c r="D79" s="3" t="s">
        <v>21</v>
      </c>
      <c r="E79" s="3">
        <v>3</v>
      </c>
      <c r="F79" s="3">
        <v>62000</v>
      </c>
      <c r="G79" s="3">
        <f t="shared" si="0"/>
        <v>186000</v>
      </c>
      <c r="H79" s="3" t="s">
        <v>16</v>
      </c>
      <c r="I79" s="3">
        <f t="shared" si="1"/>
        <v>186000</v>
      </c>
    </row>
    <row r="80" spans="1:9" ht="22.5" customHeight="1" x14ac:dyDescent="0.25">
      <c r="A80" s="3" t="s">
        <v>112</v>
      </c>
      <c r="B80" s="4">
        <v>46059</v>
      </c>
      <c r="C80" s="3" t="s">
        <v>25</v>
      </c>
      <c r="D80" s="3" t="s">
        <v>10</v>
      </c>
      <c r="E80" s="3">
        <v>3</v>
      </c>
      <c r="F80" s="3">
        <v>9800</v>
      </c>
      <c r="G80" s="3">
        <f t="shared" si="0"/>
        <v>29400</v>
      </c>
      <c r="H80" s="3" t="s">
        <v>17</v>
      </c>
      <c r="I80" s="3">
        <f t="shared" si="1"/>
        <v>29400</v>
      </c>
    </row>
    <row r="81" spans="1:9" ht="22.5" customHeight="1" x14ac:dyDescent="0.25">
      <c r="A81" s="3" t="s">
        <v>113</v>
      </c>
      <c r="B81" s="4">
        <v>46279</v>
      </c>
      <c r="C81" s="3" t="s">
        <v>25</v>
      </c>
      <c r="D81" s="3" t="s">
        <v>10</v>
      </c>
      <c r="E81" s="3">
        <v>1</v>
      </c>
      <c r="F81" s="3">
        <v>9800</v>
      </c>
      <c r="G81" s="3">
        <f t="shared" si="0"/>
        <v>9800</v>
      </c>
      <c r="H81" s="3" t="s">
        <v>16</v>
      </c>
      <c r="I81" s="3">
        <f t="shared" si="1"/>
        <v>9800</v>
      </c>
    </row>
    <row r="82" spans="1:9" ht="22.5" customHeight="1" x14ac:dyDescent="0.25">
      <c r="A82" s="3" t="s">
        <v>114</v>
      </c>
      <c r="B82" s="4">
        <v>46249</v>
      </c>
      <c r="C82" s="3" t="s">
        <v>9</v>
      </c>
      <c r="D82" s="3" t="s">
        <v>10</v>
      </c>
      <c r="E82" s="3">
        <v>2</v>
      </c>
      <c r="F82" s="3">
        <v>12500</v>
      </c>
      <c r="G82" s="3">
        <f t="shared" si="0"/>
        <v>25000</v>
      </c>
      <c r="H82" s="3" t="s">
        <v>14</v>
      </c>
      <c r="I82" s="3">
        <f t="shared" si="1"/>
        <v>25000</v>
      </c>
    </row>
    <row r="83" spans="1:9" ht="22.5" customHeight="1" x14ac:dyDescent="0.25">
      <c r="A83" s="3" t="s">
        <v>115</v>
      </c>
      <c r="B83" s="4">
        <v>46246</v>
      </c>
      <c r="C83" s="3" t="s">
        <v>37</v>
      </c>
      <c r="D83" s="3" t="s">
        <v>21</v>
      </c>
      <c r="E83" s="3">
        <v>1</v>
      </c>
      <c r="F83" s="3">
        <v>62000</v>
      </c>
      <c r="G83" s="3">
        <f t="shared" si="0"/>
        <v>62000</v>
      </c>
      <c r="H83" s="3" t="s">
        <v>17</v>
      </c>
      <c r="I83" s="3">
        <f t="shared" si="1"/>
        <v>62000</v>
      </c>
    </row>
    <row r="84" spans="1:9" ht="22.5" customHeight="1" x14ac:dyDescent="0.25">
      <c r="A84" s="3" t="s">
        <v>116</v>
      </c>
      <c r="B84" s="4">
        <v>46216</v>
      </c>
      <c r="C84" s="3" t="s">
        <v>37</v>
      </c>
      <c r="D84" s="3" t="s">
        <v>21</v>
      </c>
      <c r="E84" s="3">
        <v>2</v>
      </c>
      <c r="F84" s="3">
        <v>62000</v>
      </c>
      <c r="G84" s="3">
        <f t="shared" si="0"/>
        <v>124000</v>
      </c>
      <c r="H84" s="3" t="s">
        <v>17</v>
      </c>
      <c r="I84" s="3">
        <f t="shared" si="1"/>
        <v>124000</v>
      </c>
    </row>
    <row r="85" spans="1:9" ht="22.5" customHeight="1" x14ac:dyDescent="0.25">
      <c r="A85" s="3" t="s">
        <v>117</v>
      </c>
      <c r="B85" s="4">
        <v>46145</v>
      </c>
      <c r="C85" s="3" t="s">
        <v>15</v>
      </c>
      <c r="D85" s="3" t="s">
        <v>10</v>
      </c>
      <c r="E85" s="3">
        <v>3</v>
      </c>
      <c r="F85" s="3">
        <v>8500</v>
      </c>
      <c r="G85" s="3">
        <f t="shared" si="0"/>
        <v>25500</v>
      </c>
      <c r="H85" s="3" t="s">
        <v>11</v>
      </c>
      <c r="I85" s="3">
        <f t="shared" si="1"/>
        <v>25500</v>
      </c>
    </row>
    <row r="86" spans="1:9" ht="22.5" customHeight="1" x14ac:dyDescent="0.25">
      <c r="A86" s="3" t="s">
        <v>118</v>
      </c>
      <c r="B86" s="4">
        <v>46111</v>
      </c>
      <c r="C86" s="3" t="s">
        <v>28</v>
      </c>
      <c r="D86" s="3" t="s">
        <v>10</v>
      </c>
      <c r="E86" s="3">
        <v>4</v>
      </c>
      <c r="F86" s="3">
        <v>4200</v>
      </c>
      <c r="G86" s="3">
        <f t="shared" si="0"/>
        <v>16800</v>
      </c>
      <c r="H86" s="3" t="s">
        <v>17</v>
      </c>
      <c r="I86" s="3">
        <f t="shared" si="1"/>
        <v>16800</v>
      </c>
    </row>
    <row r="87" spans="1:9" ht="22.5" customHeight="1" x14ac:dyDescent="0.25">
      <c r="A87" s="3" t="s">
        <v>119</v>
      </c>
      <c r="B87" s="4">
        <v>46231</v>
      </c>
      <c r="C87" s="3" t="s">
        <v>20</v>
      </c>
      <c r="D87" s="3" t="s">
        <v>21</v>
      </c>
      <c r="E87" s="3">
        <v>2</v>
      </c>
      <c r="F87" s="3">
        <v>185000</v>
      </c>
      <c r="G87" s="3">
        <f t="shared" si="0"/>
        <v>370000</v>
      </c>
      <c r="H87" s="3" t="s">
        <v>17</v>
      </c>
      <c r="I87" s="3">
        <f t="shared" si="1"/>
        <v>370000</v>
      </c>
    </row>
    <row r="88" spans="1:9" ht="22.5" customHeight="1" x14ac:dyDescent="0.25">
      <c r="A88" s="3" t="s">
        <v>120</v>
      </c>
      <c r="B88" s="4">
        <v>46117</v>
      </c>
      <c r="C88" s="3" t="s">
        <v>20</v>
      </c>
      <c r="D88" s="3" t="s">
        <v>21</v>
      </c>
      <c r="E88" s="3">
        <v>5</v>
      </c>
      <c r="F88" s="3">
        <v>185000</v>
      </c>
      <c r="G88" s="3">
        <f t="shared" si="0"/>
        <v>925000</v>
      </c>
      <c r="H88" s="3" t="s">
        <v>17</v>
      </c>
      <c r="I88" s="3">
        <f t="shared" si="1"/>
        <v>925000</v>
      </c>
    </row>
    <row r="89" spans="1:9" ht="22.5" customHeight="1" x14ac:dyDescent="0.25">
      <c r="A89" s="3" t="s">
        <v>121</v>
      </c>
      <c r="B89" s="4">
        <v>46089</v>
      </c>
      <c r="C89" s="3" t="s">
        <v>20</v>
      </c>
      <c r="D89" s="3" t="s">
        <v>21</v>
      </c>
      <c r="E89" s="3">
        <v>1</v>
      </c>
      <c r="F89" s="3">
        <v>185000</v>
      </c>
      <c r="G89" s="3">
        <f t="shared" si="0"/>
        <v>185000</v>
      </c>
      <c r="H89" s="3" t="s">
        <v>16</v>
      </c>
      <c r="I89" s="3">
        <f t="shared" si="1"/>
        <v>185000</v>
      </c>
    </row>
    <row r="90" spans="1:9" ht="22.5" customHeight="1" x14ac:dyDescent="0.25">
      <c r="A90" s="3" t="s">
        <v>122</v>
      </c>
      <c r="B90" s="4">
        <v>46041</v>
      </c>
      <c r="C90" s="3" t="s">
        <v>37</v>
      </c>
      <c r="D90" s="3" t="s">
        <v>21</v>
      </c>
      <c r="E90" s="3">
        <v>1</v>
      </c>
      <c r="F90" s="3">
        <v>62000</v>
      </c>
      <c r="G90" s="3">
        <f t="shared" si="0"/>
        <v>62000</v>
      </c>
      <c r="H90" s="3" t="s">
        <v>14</v>
      </c>
      <c r="I90" s="3">
        <f t="shared" si="1"/>
        <v>62000</v>
      </c>
    </row>
    <row r="91" spans="1:9" ht="22.5" customHeight="1" x14ac:dyDescent="0.25">
      <c r="A91" s="3" t="s">
        <v>123</v>
      </c>
      <c r="B91" s="4">
        <v>46067</v>
      </c>
      <c r="C91" s="3" t="s">
        <v>15</v>
      </c>
      <c r="D91" s="3" t="s">
        <v>10</v>
      </c>
      <c r="E91" s="3">
        <v>1</v>
      </c>
      <c r="F91" s="3">
        <v>8500</v>
      </c>
      <c r="G91" s="3">
        <f t="shared" si="0"/>
        <v>8500</v>
      </c>
      <c r="H91" s="3" t="s">
        <v>11</v>
      </c>
      <c r="I91" s="3">
        <f t="shared" si="1"/>
        <v>8500</v>
      </c>
    </row>
    <row r="92" spans="1:9" ht="22.5" customHeight="1" x14ac:dyDescent="0.25">
      <c r="A92" s="3" t="s">
        <v>124</v>
      </c>
      <c r="B92" s="4">
        <v>46295</v>
      </c>
      <c r="C92" s="3" t="s">
        <v>9</v>
      </c>
      <c r="D92" s="3" t="s">
        <v>10</v>
      </c>
      <c r="E92" s="3">
        <v>2</v>
      </c>
      <c r="F92" s="3">
        <v>12500</v>
      </c>
      <c r="G92" s="3">
        <f t="shared" si="0"/>
        <v>25000</v>
      </c>
      <c r="H92" s="3" t="s">
        <v>11</v>
      </c>
      <c r="I92" s="3">
        <f t="shared" si="1"/>
        <v>25000</v>
      </c>
    </row>
    <row r="93" spans="1:9" ht="22.5" customHeight="1" x14ac:dyDescent="0.25">
      <c r="A93" s="3" t="s">
        <v>125</v>
      </c>
      <c r="B93" s="4">
        <v>46157</v>
      </c>
      <c r="C93" s="3" t="s">
        <v>25</v>
      </c>
      <c r="D93" s="3" t="s">
        <v>10</v>
      </c>
      <c r="E93" s="3">
        <v>1</v>
      </c>
      <c r="F93" s="3">
        <v>9800</v>
      </c>
      <c r="G93" s="3">
        <f t="shared" si="0"/>
        <v>9800</v>
      </c>
      <c r="H93" s="3" t="s">
        <v>14</v>
      </c>
      <c r="I93" s="3">
        <f t="shared" si="1"/>
        <v>9800</v>
      </c>
    </row>
    <row r="94" spans="1:9" ht="22.5" customHeight="1" x14ac:dyDescent="0.25">
      <c r="A94" s="3" t="s">
        <v>126</v>
      </c>
      <c r="B94" s="4">
        <v>46168</v>
      </c>
      <c r="C94" s="3" t="s">
        <v>25</v>
      </c>
      <c r="D94" s="3" t="s">
        <v>10</v>
      </c>
      <c r="E94" s="3">
        <v>1</v>
      </c>
      <c r="F94" s="3">
        <v>9800</v>
      </c>
      <c r="G94" s="3">
        <f t="shared" si="0"/>
        <v>9800</v>
      </c>
      <c r="H94" s="3" t="s">
        <v>14</v>
      </c>
      <c r="I94" s="3">
        <f t="shared" si="1"/>
        <v>9800</v>
      </c>
    </row>
    <row r="95" spans="1:9" ht="22.5" customHeight="1" x14ac:dyDescent="0.25">
      <c r="A95" s="3" t="s">
        <v>127</v>
      </c>
      <c r="B95" s="4">
        <v>46173</v>
      </c>
      <c r="C95" s="3" t="s">
        <v>25</v>
      </c>
      <c r="D95" s="3" t="s">
        <v>10</v>
      </c>
      <c r="E95" s="3">
        <v>1</v>
      </c>
      <c r="F95" s="3">
        <v>9800</v>
      </c>
      <c r="G95" s="3">
        <f t="shared" si="0"/>
        <v>9800</v>
      </c>
      <c r="H95" s="3" t="s">
        <v>11</v>
      </c>
      <c r="I95" s="3">
        <f t="shared" si="1"/>
        <v>9800</v>
      </c>
    </row>
    <row r="96" spans="1:9" ht="22.5" customHeight="1" x14ac:dyDescent="0.25">
      <c r="A96" s="3" t="s">
        <v>128</v>
      </c>
      <c r="B96" s="4">
        <v>46279</v>
      </c>
      <c r="C96" s="3" t="s">
        <v>28</v>
      </c>
      <c r="D96" s="3" t="s">
        <v>10</v>
      </c>
      <c r="E96" s="3">
        <v>5</v>
      </c>
      <c r="F96" s="3">
        <v>4200</v>
      </c>
      <c r="G96" s="3">
        <f t="shared" si="0"/>
        <v>21000</v>
      </c>
      <c r="H96" s="3" t="s">
        <v>14</v>
      </c>
      <c r="I96" s="3">
        <f t="shared" si="1"/>
        <v>21000</v>
      </c>
    </row>
    <row r="97" spans="1:9" ht="22.5" customHeight="1" x14ac:dyDescent="0.25">
      <c r="A97" s="3" t="s">
        <v>129</v>
      </c>
      <c r="B97" s="4">
        <v>46268</v>
      </c>
      <c r="C97" s="3" t="s">
        <v>20</v>
      </c>
      <c r="D97" s="3" t="s">
        <v>21</v>
      </c>
      <c r="E97" s="3">
        <v>1</v>
      </c>
      <c r="F97" s="3">
        <v>185000</v>
      </c>
      <c r="G97" s="3">
        <f t="shared" si="0"/>
        <v>185000</v>
      </c>
      <c r="H97" s="3" t="s">
        <v>17</v>
      </c>
      <c r="I97" s="3">
        <f t="shared" si="1"/>
        <v>185000</v>
      </c>
    </row>
    <row r="98" spans="1:9" ht="22.5" customHeight="1" x14ac:dyDescent="0.25">
      <c r="A98" s="3" t="s">
        <v>130</v>
      </c>
      <c r="B98" s="4">
        <v>46275</v>
      </c>
      <c r="C98" s="3" t="s">
        <v>15</v>
      </c>
      <c r="D98" s="3" t="s">
        <v>10</v>
      </c>
      <c r="E98" s="3">
        <v>3</v>
      </c>
      <c r="F98" s="3">
        <v>8500</v>
      </c>
      <c r="G98" s="3">
        <f t="shared" si="0"/>
        <v>25500</v>
      </c>
      <c r="H98" s="3" t="s">
        <v>11</v>
      </c>
      <c r="I98" s="3">
        <f t="shared" si="1"/>
        <v>25500</v>
      </c>
    </row>
    <row r="99" spans="1:9" ht="22.5" customHeight="1" x14ac:dyDescent="0.25">
      <c r="A99" s="3" t="s">
        <v>131</v>
      </c>
      <c r="B99" s="4">
        <v>46081</v>
      </c>
      <c r="C99" s="3" t="s">
        <v>37</v>
      </c>
      <c r="D99" s="3" t="s">
        <v>21</v>
      </c>
      <c r="E99" s="3">
        <v>1</v>
      </c>
      <c r="F99" s="3">
        <v>62000</v>
      </c>
      <c r="G99" s="3">
        <f t="shared" si="0"/>
        <v>62000</v>
      </c>
      <c r="H99" s="3" t="s">
        <v>11</v>
      </c>
      <c r="I99" s="3">
        <f t="shared" si="1"/>
        <v>62000</v>
      </c>
    </row>
    <row r="100" spans="1:9" ht="22.5" customHeight="1" x14ac:dyDescent="0.25">
      <c r="A100" s="3" t="s">
        <v>132</v>
      </c>
      <c r="B100" s="4">
        <v>46218</v>
      </c>
      <c r="C100" s="3" t="s">
        <v>9</v>
      </c>
      <c r="D100" s="3" t="s">
        <v>10</v>
      </c>
      <c r="E100" s="3">
        <v>3</v>
      </c>
      <c r="F100" s="3">
        <v>12500</v>
      </c>
      <c r="G100" s="3">
        <f t="shared" si="0"/>
        <v>37500</v>
      </c>
      <c r="H100" s="3" t="s">
        <v>14</v>
      </c>
      <c r="I100" s="3">
        <f t="shared" si="1"/>
        <v>37500</v>
      </c>
    </row>
    <row r="101" spans="1:9" ht="22.5" customHeight="1" x14ac:dyDescent="0.25">
      <c r="A101" s="3" t="s">
        <v>133</v>
      </c>
      <c r="B101" s="4">
        <v>46063</v>
      </c>
      <c r="C101" s="3" t="s">
        <v>9</v>
      </c>
      <c r="D101" s="3" t="s">
        <v>10</v>
      </c>
      <c r="E101" s="3">
        <v>2</v>
      </c>
      <c r="F101" s="3">
        <v>12500</v>
      </c>
      <c r="G101" s="3">
        <f t="shared" si="0"/>
        <v>25000</v>
      </c>
      <c r="H101" s="3" t="s">
        <v>14</v>
      </c>
      <c r="I101" s="3">
        <f t="shared" si="1"/>
        <v>25000</v>
      </c>
    </row>
  </sheetData>
  <dataValidations count="1">
    <dataValidation type="custom" allowBlank="1" showDropDown="1" sqref="B2:B101" xr:uid="{00000000-0002-0000-0600-000000000000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PT_Monthly</vt:lpstr>
      <vt:lpstr>Dashboard</vt:lpstr>
      <vt:lpstr>PT_Region</vt:lpstr>
      <vt:lpstr>PT_Category</vt:lpstr>
      <vt:lpstr>PT_Product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deliya gallage</cp:lastModifiedBy>
  <dcterms:modified xsi:type="dcterms:W3CDTF">2026-10-22T05:00:38Z</dcterms:modified>
</cp:coreProperties>
</file>